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山岳地帯と平地の割合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<sst xmlns="http://schemas.openxmlformats.org/spreadsheetml/2006/main" count="139" uniqueCount="139">
  <si>
    <t xml:space="preserve">国名</t>
  </si>
  <si>
    <r>
      <rPr>
        <b val="true"/>
        <sz val="11"/>
        <color rgb="FFFFFFFF"/>
        <rFont val="Noto Sans CJK SC"/>
        <family val="2"/>
      </rPr>
      <t xml:space="preserve">山岳地帯の割合（</t>
    </r>
    <r>
      <rPr>
        <b val="true"/>
        <sz val="11"/>
        <color rgb="FFFFFFFF"/>
        <rFont val="Arial"/>
        <family val="0"/>
        <charset val="1"/>
      </rPr>
      <t xml:space="preserve">%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</si>
  <si>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平野・平地面積の割合（</t>
    </r>
    <r>
      <rPr>
        <b val="true"/>
        <sz val="11"/>
        <color rgb="FFFFFFFF"/>
        <rFont val="Arial"/>
        <family val="0"/>
        <charset val="1"/>
      </rPr>
      <t xml:space="preserve">%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</si>
  <si>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国土の面積（</t>
    </r>
    <r>
      <rPr>
        <b val="true"/>
        <sz val="11"/>
        <color rgb="FFFFFFFF"/>
        <rFont val="Arial"/>
        <family val="0"/>
        <charset val="1"/>
      </rPr>
      <t xml:space="preserve">km²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</si>
  <si>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国土に占める平野・平地面積（</t>
    </r>
    <r>
      <rPr>
        <b val="true"/>
        <sz val="11"/>
        <color rgb="FFFFFFFF"/>
        <rFont val="Arial"/>
        <family val="0"/>
        <charset val="1"/>
      </rPr>
      <t xml:space="preserve">km²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</si>
  <si>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人口（人）</t>
  </si>
  <si>
    <r>
      <rPr>
        <b val="true"/>
        <sz val="11"/>
        <color rgb="FFFFFFFF"/>
        <rFont val="Noto Sans CJK SC"/>
        <family val="2"/>
      </rPr>
      <t xml:space="preserve">一人当たりの平野・平地面積（㎡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人）</t>
    </r>
  </si>
  <si>
    <t xml:space="preserve">ブータン</t>
  </si>
  <si>
    <t xml:space="preserve">タジキスタン</t>
  </si>
  <si>
    <t xml:space="preserve">キルギス</t>
  </si>
  <si>
    <t xml:space="preserve">レソト</t>
  </si>
  <si>
    <t xml:space="preserve">アンドラ</t>
  </si>
  <si>
    <t xml:space="preserve">モンテネグロ</t>
  </si>
  <si>
    <t xml:space="preserve">アルメニア</t>
  </si>
  <si>
    <t xml:space="preserve">北マケドニア</t>
  </si>
  <si>
    <t xml:space="preserve">ジョージア</t>
  </si>
  <si>
    <t xml:space="preserve">スイス</t>
  </si>
  <si>
    <t xml:space="preserve">レバノン</t>
  </si>
  <si>
    <t xml:space="preserve">ネパール</t>
  </si>
  <si>
    <t xml:space="preserve">北朝鮮</t>
  </si>
  <si>
    <t xml:space="preserve">ギリシャ</t>
  </si>
  <si>
    <t xml:space="preserve">チリ</t>
  </si>
  <si>
    <t xml:space="preserve">アフガニスタン</t>
  </si>
  <si>
    <t xml:space="preserve">日本</t>
  </si>
  <si>
    <t xml:space="preserve">台湾</t>
  </si>
  <si>
    <t xml:space="preserve">韓国</t>
  </si>
  <si>
    <t xml:space="preserve">ラオス</t>
  </si>
  <si>
    <t xml:space="preserve">オーストリア</t>
  </si>
  <si>
    <t xml:space="preserve">スロベニア</t>
  </si>
  <si>
    <t xml:space="preserve">ノルウェー</t>
  </si>
  <si>
    <t xml:space="preserve">アルバニア</t>
  </si>
  <si>
    <t xml:space="preserve">ボスニア・ヘルツェゴビナ</t>
  </si>
  <si>
    <t xml:space="preserve">ホンジュラス</t>
  </si>
  <si>
    <t xml:space="preserve">パプアニューギニア</t>
  </si>
  <si>
    <t xml:space="preserve">ハイチ</t>
  </si>
  <si>
    <t xml:space="preserve">トルコ</t>
  </si>
  <si>
    <t xml:space="preserve">グアテマラ</t>
  </si>
  <si>
    <t xml:space="preserve">ルワンダ</t>
  </si>
  <si>
    <t xml:space="preserve">ニュージーランド</t>
  </si>
  <si>
    <t xml:space="preserve">イラン</t>
  </si>
  <si>
    <t xml:space="preserve">ミャンマー</t>
  </si>
  <si>
    <t xml:space="preserve">フィリピン</t>
  </si>
  <si>
    <t xml:space="preserve">メキシコ</t>
  </si>
  <si>
    <t xml:space="preserve">ブルンジ</t>
  </si>
  <si>
    <t xml:space="preserve">アゼルバイジャン</t>
  </si>
  <si>
    <t xml:space="preserve">モンゴル</t>
  </si>
  <si>
    <t xml:space="preserve">パキスタン</t>
  </si>
  <si>
    <t xml:space="preserve">ベトナム</t>
  </si>
  <si>
    <t xml:space="preserve">インドネシア</t>
  </si>
  <si>
    <t xml:space="preserve">イエメン</t>
  </si>
  <si>
    <t xml:space="preserve">スロバキア</t>
  </si>
  <si>
    <t xml:space="preserve">エルサルバドル</t>
  </si>
  <si>
    <t xml:space="preserve">コスタリカ</t>
  </si>
  <si>
    <t xml:space="preserve">ドミニカ共和国</t>
  </si>
  <si>
    <t xml:space="preserve">ペルー</t>
  </si>
  <si>
    <t xml:space="preserve">ボリビア</t>
  </si>
  <si>
    <t xml:space="preserve">エチオピア</t>
  </si>
  <si>
    <t xml:space="preserve">イタリア</t>
  </si>
  <si>
    <t xml:space="preserve">中国</t>
  </si>
  <si>
    <t xml:space="preserve">タイ</t>
  </si>
  <si>
    <t xml:space="preserve">ブルガリア</t>
  </si>
  <si>
    <t xml:space="preserve">セルビア</t>
  </si>
  <si>
    <t xml:space="preserve">クロアチア</t>
  </si>
  <si>
    <t xml:space="preserve">スペイン</t>
  </si>
  <si>
    <t xml:space="preserve">ルーマニア</t>
  </si>
  <si>
    <t xml:space="preserve">パナマ</t>
  </si>
  <si>
    <t xml:space="preserve">コロンビア</t>
  </si>
  <si>
    <t xml:space="preserve">エクアドル</t>
  </si>
  <si>
    <t xml:space="preserve">モロッコ</t>
  </si>
  <si>
    <t xml:space="preserve">エリトリア</t>
  </si>
  <si>
    <t xml:space="preserve">南アフリカ</t>
  </si>
  <si>
    <t xml:space="preserve">マラウイ</t>
  </si>
  <si>
    <t xml:space="preserve">マダガスカル</t>
  </si>
  <si>
    <t xml:space="preserve">フィジー</t>
  </si>
  <si>
    <t xml:space="preserve">ポルトガル</t>
  </si>
  <si>
    <t xml:space="preserve">アメリカ合衆国</t>
  </si>
  <si>
    <t xml:space="preserve">カナダ</t>
  </si>
  <si>
    <t xml:space="preserve">ウズベキスタン</t>
  </si>
  <si>
    <t xml:space="preserve">トルクメニスタン</t>
  </si>
  <si>
    <t xml:space="preserve">スリランカ</t>
  </si>
  <si>
    <t xml:space="preserve">マレーシア</t>
  </si>
  <si>
    <t xml:space="preserve">ヨルダン</t>
  </si>
  <si>
    <t xml:space="preserve">フランス</t>
  </si>
  <si>
    <t xml:space="preserve">ニカラグア</t>
  </si>
  <si>
    <t xml:space="preserve">ジャマイカ</t>
  </si>
  <si>
    <t xml:space="preserve">ベネズエラ</t>
  </si>
  <si>
    <t xml:space="preserve">ガイアナ</t>
  </si>
  <si>
    <t xml:space="preserve">ケニア</t>
  </si>
  <si>
    <t xml:space="preserve">タンザニア</t>
  </si>
  <si>
    <t xml:space="preserve">コンゴ民主共和国</t>
  </si>
  <si>
    <t xml:space="preserve">カメルーン</t>
  </si>
  <si>
    <t xml:space="preserve">ジンバブエ</t>
  </si>
  <si>
    <t xml:space="preserve">カザフスタン</t>
  </si>
  <si>
    <t xml:space="preserve">カンボジア</t>
  </si>
  <si>
    <t xml:space="preserve">オマーン</t>
  </si>
  <si>
    <t xml:space="preserve">イスラエル</t>
  </si>
  <si>
    <t xml:space="preserve">シリア</t>
  </si>
  <si>
    <t xml:space="preserve">ドイツ</t>
  </si>
  <si>
    <t xml:space="preserve">イギリス</t>
  </si>
  <si>
    <t xml:space="preserve">チェコ</t>
  </si>
  <si>
    <t xml:space="preserve">スウェーデン</t>
  </si>
  <si>
    <t xml:space="preserve">ルクセンブルク</t>
  </si>
  <si>
    <t xml:space="preserve">アルゼンチン</t>
  </si>
  <si>
    <t xml:space="preserve">アルジェリア</t>
  </si>
  <si>
    <t xml:space="preserve">ウガンダ</t>
  </si>
  <si>
    <t xml:space="preserve">ナミビア</t>
  </si>
  <si>
    <t xml:space="preserve">モザンビーク</t>
  </si>
  <si>
    <t xml:space="preserve">インド</t>
  </si>
  <si>
    <t xml:space="preserve">イラク</t>
  </si>
  <si>
    <t xml:space="preserve">サウジアラビア</t>
  </si>
  <si>
    <t xml:space="preserve">アイルランド</t>
  </si>
  <si>
    <t xml:space="preserve">フィンランド</t>
  </si>
  <si>
    <t xml:space="preserve">キューバ</t>
  </si>
  <si>
    <t xml:space="preserve">ブラジル</t>
  </si>
  <si>
    <t xml:space="preserve">チュニジア</t>
  </si>
  <si>
    <t xml:space="preserve">スーダン</t>
  </si>
  <si>
    <t xml:space="preserve">ソマリア</t>
  </si>
  <si>
    <t xml:space="preserve">ナイジェリア</t>
  </si>
  <si>
    <t xml:space="preserve">ガーナ</t>
  </si>
  <si>
    <t xml:space="preserve">ザンビア</t>
  </si>
  <si>
    <t xml:space="preserve">アラブ首長国連邦</t>
  </si>
  <si>
    <t xml:space="preserve">ポーランド</t>
  </si>
  <si>
    <t xml:space="preserve">ウクライナ</t>
  </si>
  <si>
    <t xml:space="preserve">ベルギー</t>
  </si>
  <si>
    <t xml:space="preserve">パラグアイ</t>
  </si>
  <si>
    <t xml:space="preserve">リビア</t>
  </si>
  <si>
    <t xml:space="preserve">エジプト</t>
  </si>
  <si>
    <t xml:space="preserve">オーストラリア</t>
  </si>
  <si>
    <t xml:space="preserve">バングラデシュ</t>
  </si>
  <si>
    <t xml:space="preserve">ハンガリー</t>
  </si>
  <si>
    <t xml:space="preserve">ベラルーシ</t>
  </si>
  <si>
    <t xml:space="preserve">リトアニア</t>
  </si>
  <si>
    <t xml:space="preserve">ラトビア</t>
  </si>
  <si>
    <t xml:space="preserve">エストニア</t>
  </si>
  <si>
    <t xml:space="preserve">ウルグアイ</t>
  </si>
  <si>
    <t xml:space="preserve">ボツワナ</t>
  </si>
  <si>
    <t xml:space="preserve">デンマーク</t>
  </si>
  <si>
    <t xml:space="preserve">オランダ</t>
  </si>
  <si>
    <r>
      <rPr>
        <i val="true"/>
        <sz val="9"/>
        <color rgb="FF666666"/>
        <rFont val="Noto Sans CJK SC"/>
        <family val="2"/>
      </rPr>
      <t xml:space="preserve">注：山岳地帯の割合は、</t>
    </r>
    <r>
      <rPr>
        <i val="true"/>
        <sz val="9"/>
        <color rgb="FF666666"/>
        <rFont val="Arial"/>
        <family val="0"/>
        <charset val="1"/>
      </rPr>
      <t xml:space="preserve">GRID-Arendal</t>
    </r>
    <r>
      <rPr>
        <i val="true"/>
        <sz val="9"/>
        <color rgb="FF666666"/>
        <rFont val="Noto Sans CJK SC"/>
        <family val="2"/>
      </rPr>
      <t xml:space="preserve">（</t>
    </r>
    <r>
      <rPr>
        <i val="true"/>
        <sz val="9"/>
        <color rgb="FF666666"/>
        <rFont val="Arial"/>
        <family val="0"/>
        <charset val="1"/>
      </rPr>
      <t xml:space="preserve">UNEP</t>
    </r>
    <r>
      <rPr>
        <i val="true"/>
        <sz val="9"/>
        <color rgb="FF666666"/>
        <rFont val="Noto Sans CJK SC"/>
        <family val="2"/>
      </rPr>
      <t xml:space="preserve">系機関）等が採用する山岳地域の定義や、</t>
    </r>
    <r>
      <rPr>
        <i val="true"/>
        <sz val="9"/>
        <color rgb="FF666666"/>
        <rFont val="Arial"/>
        <family val="0"/>
        <charset val="1"/>
      </rPr>
      <t xml:space="preserve">World Population Review</t>
    </r>
    <r>
      <rPr>
        <i val="true"/>
        <sz val="9"/>
        <color rgb="FF666666"/>
        <rFont val="Noto Sans CJK SC"/>
        <family val="2"/>
      </rPr>
      <t xml:space="preserve">・</t>
    </r>
    <r>
      <rPr>
        <i val="true"/>
        <sz val="9"/>
        <color rgb="FF666666"/>
        <rFont val="Arial"/>
        <family val="0"/>
        <charset val="1"/>
      </rPr>
      <t xml:space="preserve">World Atlas</t>
    </r>
    <r>
      <rPr>
        <i val="true"/>
        <sz val="9"/>
        <color rgb="FF666666"/>
        <rFont val="Noto Sans CJK SC"/>
        <family val="2"/>
      </rPr>
      <t xml:space="preserve">等の資料をもとにしたおおよその目安です。国土の面積・人口は、</t>
    </r>
    <r>
      <rPr>
        <i val="true"/>
        <sz val="9"/>
        <color rgb="FF666666"/>
        <rFont val="Arial"/>
        <family val="0"/>
        <charset val="1"/>
      </rPr>
      <t xml:space="preserve">Wikipedia</t>
    </r>
    <r>
      <rPr>
        <i val="true"/>
        <sz val="9"/>
        <color rgb="FF666666"/>
        <rFont val="Noto Sans CJK SC"/>
        <family val="2"/>
      </rPr>
      <t xml:space="preserve">『</t>
    </r>
    <r>
      <rPr>
        <i val="true"/>
        <sz val="9"/>
        <color rgb="FF666666"/>
        <rFont val="Arial"/>
        <family val="0"/>
        <charset val="1"/>
      </rPr>
      <t xml:space="preserve">List of countries and dependencies by population density</t>
    </r>
    <r>
      <rPr>
        <i val="true"/>
        <sz val="9"/>
        <color rgb="FF666666"/>
        <rFont val="Noto Sans CJK SC"/>
        <family val="2"/>
      </rPr>
      <t xml:space="preserve">』（国連</t>
    </r>
    <r>
      <rPr>
        <i val="true"/>
        <sz val="9"/>
        <color rgb="FF666666"/>
        <rFont val="Arial"/>
        <family val="0"/>
        <charset val="1"/>
      </rPr>
      <t xml:space="preserve">World Population Prospects</t>
    </r>
    <r>
      <rPr>
        <i val="true"/>
        <sz val="9"/>
        <color rgb="FF666666"/>
        <rFont val="Noto Sans CJK SC"/>
        <family val="2"/>
      </rPr>
      <t xml:space="preserve">等に基づく、</t>
    </r>
    <r>
      <rPr>
        <i val="true"/>
        <sz val="9"/>
        <color rgb="FF666666"/>
        <rFont val="Arial"/>
        <family val="0"/>
        <charset val="1"/>
      </rPr>
      <t xml:space="preserve">2025</t>
    </r>
    <r>
      <rPr>
        <i val="true"/>
        <sz val="9"/>
        <color rgb="FF666666"/>
        <rFont val="Noto Sans CJK SC"/>
        <family val="2"/>
      </rPr>
      <t xml:space="preserve">年時点のデータ）を参照しています。「平野・平地面積」は「国土の面積 </t>
    </r>
    <r>
      <rPr>
        <i val="true"/>
        <sz val="9"/>
        <color rgb="FF666666"/>
        <rFont val="Arial"/>
        <family val="0"/>
        <charset val="1"/>
      </rPr>
      <t xml:space="preserve">× (100% − </t>
    </r>
    <r>
      <rPr>
        <i val="true"/>
        <sz val="9"/>
        <color rgb="FF666666"/>
        <rFont val="Noto Sans CJK SC"/>
        <family val="2"/>
      </rPr>
      <t xml:space="preserve">山岳地帯の割合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」として簡易的に算出した推計値であり、実際の土地利用統計（農地・都市</t>
    </r>
    <r>
      <rPr>
        <i val="true"/>
        <sz val="9"/>
        <color rgb="FF666666"/>
        <rFont val="Arial"/>
        <family val="0"/>
        <charset val="1"/>
      </rPr>
      <t xml:space="preserve">area</t>
    </r>
    <r>
      <rPr>
        <i val="true"/>
        <sz val="9"/>
        <color rgb="FF666666"/>
        <rFont val="Noto Sans CJK SC"/>
        <family val="2"/>
      </rPr>
      <t xml:space="preserve">等）とは異なります。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</si>
</sst>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Noto Sans CJK SC"/>
      <family val="2"/>
    </font>
    <font>
      <sz val="11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0.988</v>
      </c>
      <c r="C2" s="3" t="n">
        <f aca="false">1-B2</f>
        <v>0.012</v>
      </c>
      <c r="D2" s="4" t="n">
        <v>38140</v>
      </c>
      <c r="E2" s="4" t="n">
        <f aca="false">D2*C2</f>
        <v>457.68</v>
      </c>
      <c r="F2" s="4" t="n">
        <v>791525</v>
      </c>
      <c r="G2" s="4" t="n">
        <f aca="false">E2*1000000/F2</f>
        <v>578.225577208554</v>
      </c>
    </row>
    <row r="3" customFormat="false" ht="15" hidden="false" customHeight="false" outlineLevel="0" collapsed="false">
      <c r="A3" s="2" t="s">
        <v>8</v>
      </c>
      <c r="B3" s="3" t="n">
        <v>0.919</v>
      </c>
      <c r="C3" s="3" t="n">
        <f aca="false">1-B3</f>
        <v>0.081</v>
      </c>
      <c r="D3" s="4" t="n">
        <v>138790</v>
      </c>
      <c r="E3" s="4" t="n">
        <f aca="false">D3*C3</f>
        <v>11241.99</v>
      </c>
      <c r="F3" s="4" t="n">
        <v>10590928</v>
      </c>
      <c r="G3" s="4" t="n">
        <f aca="false">E3*1000000/F3</f>
        <v>1061.47355548069</v>
      </c>
    </row>
    <row r="4" customFormat="false" ht="15" hidden="false" customHeight="false" outlineLevel="0" collapsed="false">
      <c r="A4" s="2" t="s">
        <v>9</v>
      </c>
      <c r="B4" s="3" t="n">
        <v>0.907</v>
      </c>
      <c r="C4" s="3" t="n">
        <f aca="false">1-B4</f>
        <v>0.093</v>
      </c>
      <c r="D4" s="4" t="n">
        <v>191800</v>
      </c>
      <c r="E4" s="4" t="n">
        <f aca="false">D4*C4</f>
        <v>17837.4</v>
      </c>
      <c r="F4" s="4" t="n">
        <v>7186009</v>
      </c>
      <c r="G4" s="4" t="n">
        <f aca="false">E4*1000000/F4</f>
        <v>2482.24014192022</v>
      </c>
    </row>
    <row r="5" customFormat="false" ht="15" hidden="false" customHeight="false" outlineLevel="0" collapsed="false">
      <c r="A5" s="2" t="s">
        <v>10</v>
      </c>
      <c r="B5" s="3" t="n">
        <v>0.905</v>
      </c>
      <c r="C5" s="3" t="n">
        <f aca="false">1-B5</f>
        <v>0.095</v>
      </c>
      <c r="D5" s="4" t="n">
        <v>30360</v>
      </c>
      <c r="E5" s="4" t="n">
        <f aca="false">D5*C5</f>
        <v>2884.2</v>
      </c>
      <c r="F5" s="4" t="n">
        <v>2337423</v>
      </c>
      <c r="G5" s="4" t="n">
        <f aca="false">E5*1000000/F5</f>
        <v>1233.92299981646</v>
      </c>
    </row>
    <row r="6" customFormat="false" ht="15" hidden="false" customHeight="false" outlineLevel="0" collapsed="false">
      <c r="A6" s="2" t="s">
        <v>11</v>
      </c>
      <c r="B6" s="3" t="n">
        <v>0.9</v>
      </c>
      <c r="C6" s="3" t="n">
        <f aca="false">1-B6</f>
        <v>0.1</v>
      </c>
      <c r="D6" s="4" t="n">
        <v>470</v>
      </c>
      <c r="E6" s="4" t="n">
        <f aca="false">D6*C6</f>
        <v>47</v>
      </c>
      <c r="F6" s="4" t="n">
        <v>81938</v>
      </c>
      <c r="G6" s="4" t="n">
        <f aca="false">E6*1000000/F6</f>
        <v>573.604432619786</v>
      </c>
    </row>
    <row r="7" customFormat="false" ht="15" hidden="false" customHeight="false" outlineLevel="0" collapsed="false">
      <c r="A7" s="2" t="s">
        <v>12</v>
      </c>
      <c r="B7" s="3" t="n">
        <v>0.893</v>
      </c>
      <c r="C7" s="3" t="n">
        <f aca="false">1-B7</f>
        <v>0.107</v>
      </c>
      <c r="D7" s="4" t="n">
        <v>13450</v>
      </c>
      <c r="E7" s="4" t="n">
        <f aca="false">D7*C7</f>
        <v>1439.15</v>
      </c>
      <c r="F7" s="4" t="n">
        <v>638479</v>
      </c>
      <c r="G7" s="4" t="n">
        <f aca="false">E7*1000000/F7</f>
        <v>2254.02871511827</v>
      </c>
    </row>
    <row r="8" customFormat="false" ht="15" hidden="false" customHeight="false" outlineLevel="0" collapsed="false">
      <c r="A8" s="2" t="s">
        <v>13</v>
      </c>
      <c r="B8" s="3" t="n">
        <v>0.859</v>
      </c>
      <c r="C8" s="3" t="n">
        <f aca="false">1-B8</f>
        <v>0.141</v>
      </c>
      <c r="D8" s="4" t="n">
        <v>28470</v>
      </c>
      <c r="E8" s="4" t="n">
        <f aca="false">D8*C8</f>
        <v>4014.27</v>
      </c>
      <c r="F8" s="4" t="n">
        <v>2973841</v>
      </c>
      <c r="G8" s="4" t="n">
        <f aca="false">E8*1000000/F8</f>
        <v>1349.86033214284</v>
      </c>
    </row>
    <row r="9" customFormat="false" ht="15" hidden="false" customHeight="false" outlineLevel="0" collapsed="false">
      <c r="A9" s="2" t="s">
        <v>14</v>
      </c>
      <c r="B9" s="3" t="n">
        <v>0.855</v>
      </c>
      <c r="C9" s="3" t="n">
        <f aca="false">1-B9</f>
        <v>0.145</v>
      </c>
      <c r="D9" s="4" t="n">
        <v>25220</v>
      </c>
      <c r="E9" s="4" t="n">
        <f aca="false">D9*C9</f>
        <v>3656.9</v>
      </c>
      <c r="F9" s="4" t="n">
        <v>1823009</v>
      </c>
      <c r="G9" s="4" t="n">
        <f aca="false">E9*1000000/F9</f>
        <v>2005.96925193458</v>
      </c>
    </row>
    <row r="10" customFormat="false" ht="15" hidden="false" customHeight="false" outlineLevel="0" collapsed="false">
      <c r="A10" s="2" t="s">
        <v>15</v>
      </c>
      <c r="B10" s="3" t="n">
        <v>0.85</v>
      </c>
      <c r="C10" s="3" t="n">
        <f aca="false">1-B10</f>
        <v>0.15</v>
      </c>
      <c r="D10" s="4" t="n">
        <v>69490</v>
      </c>
      <c r="E10" s="4" t="n">
        <f aca="false">D10*C10</f>
        <v>10423.5</v>
      </c>
      <c r="F10" s="4" t="n">
        <v>3807670</v>
      </c>
      <c r="G10" s="4" t="n">
        <f aca="false">E10*1000000/F10</f>
        <v>2737.50088636883</v>
      </c>
    </row>
    <row r="11" customFormat="false" ht="15" hidden="false" customHeight="false" outlineLevel="0" collapsed="false">
      <c r="A11" s="2" t="s">
        <v>16</v>
      </c>
      <c r="B11" s="3" t="n">
        <v>0.836</v>
      </c>
      <c r="C11" s="3" t="n">
        <f aca="false">1-B11</f>
        <v>0.164</v>
      </c>
      <c r="D11" s="4" t="n">
        <v>39510</v>
      </c>
      <c r="E11" s="4" t="n">
        <f aca="false">D11*C11</f>
        <v>6479.64</v>
      </c>
      <c r="F11" s="4" t="n">
        <v>8921981</v>
      </c>
      <c r="G11" s="4" t="n">
        <f aca="false">E11*1000000/F11</f>
        <v>726.255749704018</v>
      </c>
    </row>
    <row r="12" customFormat="false" ht="15" hidden="false" customHeight="false" outlineLevel="0" collapsed="false">
      <c r="A12" s="2" t="s">
        <v>17</v>
      </c>
      <c r="B12" s="3" t="n">
        <v>0.811</v>
      </c>
      <c r="C12" s="3" t="n">
        <f aca="false">1-B12</f>
        <v>0.189</v>
      </c>
      <c r="D12" s="4" t="n">
        <v>10230</v>
      </c>
      <c r="E12" s="4" t="n">
        <f aca="false">D12*C12</f>
        <v>1933.47</v>
      </c>
      <c r="F12" s="4" t="n">
        <v>5805962</v>
      </c>
      <c r="G12" s="4" t="n">
        <f aca="false">E12*1000000/F12</f>
        <v>333.014580529463</v>
      </c>
    </row>
    <row r="13" customFormat="false" ht="15" hidden="false" customHeight="false" outlineLevel="0" collapsed="false">
      <c r="A13" s="2" t="s">
        <v>18</v>
      </c>
      <c r="B13" s="3" t="n">
        <v>0.807</v>
      </c>
      <c r="C13" s="3" t="n">
        <f aca="false">1-B13</f>
        <v>0.193</v>
      </c>
      <c r="D13" s="4" t="n">
        <v>143350</v>
      </c>
      <c r="E13" s="4" t="n">
        <f aca="false">D13*C13</f>
        <v>27666.55</v>
      </c>
      <c r="F13" s="4" t="n">
        <v>29651055</v>
      </c>
      <c r="G13" s="4" t="n">
        <f aca="false">E13*1000000/F13</f>
        <v>933.071352773114</v>
      </c>
    </row>
    <row r="14" customFormat="false" ht="15" hidden="false" customHeight="false" outlineLevel="0" collapsed="false">
      <c r="A14" s="2" t="s">
        <v>19</v>
      </c>
      <c r="B14" s="3" t="n">
        <v>0.8</v>
      </c>
      <c r="C14" s="3" t="n">
        <f aca="false">1-B14</f>
        <v>0.2</v>
      </c>
      <c r="D14" s="4" t="n">
        <v>120410</v>
      </c>
      <c r="E14" s="4" t="n">
        <f aca="false">D14*C14</f>
        <v>24082</v>
      </c>
      <c r="F14" s="4" t="n">
        <v>26498823</v>
      </c>
      <c r="G14" s="4" t="n">
        <f aca="false">E14*1000000/F14</f>
        <v>908.795081200399</v>
      </c>
    </row>
    <row r="15" customFormat="false" ht="15" hidden="false" customHeight="false" outlineLevel="0" collapsed="false">
      <c r="A15" s="2" t="s">
        <v>20</v>
      </c>
      <c r="B15" s="3" t="n">
        <v>0.8</v>
      </c>
      <c r="C15" s="3" t="n">
        <f aca="false">1-B15</f>
        <v>0.2</v>
      </c>
      <c r="D15" s="4" t="n">
        <v>128900</v>
      </c>
      <c r="E15" s="4" t="n">
        <f aca="false">D15*C15</f>
        <v>25780</v>
      </c>
      <c r="F15" s="4" t="n">
        <v>10047817</v>
      </c>
      <c r="G15" s="4" t="n">
        <f aca="false">E15*1000000/F15</f>
        <v>2565.73144196396</v>
      </c>
    </row>
    <row r="16" customFormat="false" ht="15" hidden="false" customHeight="false" outlineLevel="0" collapsed="false">
      <c r="A16" s="2" t="s">
        <v>21</v>
      </c>
      <c r="B16" s="3" t="n">
        <v>0.8</v>
      </c>
      <c r="C16" s="3" t="n">
        <f aca="false">1-B16</f>
        <v>0.2</v>
      </c>
      <c r="D16" s="4" t="n">
        <v>743532</v>
      </c>
      <c r="E16" s="4" t="n">
        <f aca="false">D16*C16</f>
        <v>148706.4</v>
      </c>
      <c r="F16" s="4" t="n">
        <v>19764772</v>
      </c>
      <c r="G16" s="4" t="n">
        <f aca="false">E16*1000000/F16</f>
        <v>7523.81054534806</v>
      </c>
    </row>
    <row r="17" customFormat="false" ht="15" hidden="false" customHeight="false" outlineLevel="0" collapsed="false">
      <c r="A17" s="2" t="s">
        <v>22</v>
      </c>
      <c r="B17" s="3" t="n">
        <v>0.75</v>
      </c>
      <c r="C17" s="3" t="n">
        <f aca="false">1-B17</f>
        <v>0.25</v>
      </c>
      <c r="D17" s="4" t="n">
        <v>652230</v>
      </c>
      <c r="E17" s="4" t="n">
        <f aca="false">D17*C17</f>
        <v>163057.5</v>
      </c>
      <c r="F17" s="4" t="n">
        <v>42647492</v>
      </c>
      <c r="G17" s="4" t="n">
        <f aca="false">E17*1000000/F17</f>
        <v>3823.37840640195</v>
      </c>
    </row>
    <row r="18" customFormat="false" ht="15" hidden="false" customHeight="false" outlineLevel="0" collapsed="false">
      <c r="A18" s="2" t="s">
        <v>23</v>
      </c>
      <c r="B18" s="3" t="n">
        <v>0.73</v>
      </c>
      <c r="C18" s="3" t="n">
        <f aca="false">1-B18</f>
        <v>0.27</v>
      </c>
      <c r="D18" s="4" t="n">
        <v>364500</v>
      </c>
      <c r="E18" s="4" t="n">
        <f aca="false">D18*C18</f>
        <v>98415</v>
      </c>
      <c r="F18" s="4" t="n">
        <v>123753041</v>
      </c>
      <c r="G18" s="4" t="n">
        <f aca="false">E18*1000000/F18</f>
        <v>795.253184929815</v>
      </c>
    </row>
    <row r="19" customFormat="false" ht="15" hidden="false" customHeight="false" outlineLevel="0" collapsed="false">
      <c r="A19" s="2" t="s">
        <v>24</v>
      </c>
      <c r="B19" s="3" t="n">
        <v>0.7</v>
      </c>
      <c r="C19" s="3" t="n">
        <f aca="false">1-B19</f>
        <v>0.3</v>
      </c>
      <c r="D19" s="4" t="n">
        <v>35410</v>
      </c>
      <c r="E19" s="4" t="n">
        <f aca="false">D19*C19</f>
        <v>10623</v>
      </c>
      <c r="F19" s="4" t="n">
        <v>23213962</v>
      </c>
      <c r="G19" s="4" t="n">
        <f aca="false">E19*1000000/F19</f>
        <v>457.612535076951</v>
      </c>
    </row>
    <row r="20" customFormat="false" ht="15" hidden="false" customHeight="false" outlineLevel="0" collapsed="false">
      <c r="A20" s="2" t="s">
        <v>25</v>
      </c>
      <c r="B20" s="3" t="n">
        <v>0.7</v>
      </c>
      <c r="C20" s="3" t="n">
        <f aca="false">1-B20</f>
        <v>0.3</v>
      </c>
      <c r="D20" s="4" t="n">
        <v>97600</v>
      </c>
      <c r="E20" s="4" t="n">
        <f aca="false">D20*C20</f>
        <v>29280</v>
      </c>
      <c r="F20" s="4" t="n">
        <v>51717590</v>
      </c>
      <c r="G20" s="4" t="n">
        <f aca="false">E20*1000000/F20</f>
        <v>566.151671027208</v>
      </c>
    </row>
    <row r="21" customFormat="false" ht="15" hidden="false" customHeight="false" outlineLevel="0" collapsed="false">
      <c r="A21" s="2" t="s">
        <v>26</v>
      </c>
      <c r="B21" s="3" t="n">
        <v>0.7</v>
      </c>
      <c r="C21" s="3" t="n">
        <f aca="false">1-B21</f>
        <v>0.3</v>
      </c>
      <c r="D21" s="4" t="n">
        <v>230800</v>
      </c>
      <c r="E21" s="4" t="n">
        <f aca="false">D21*C21</f>
        <v>69240</v>
      </c>
      <c r="F21" s="4" t="n">
        <v>7769819</v>
      </c>
      <c r="G21" s="4" t="n">
        <f aca="false">E21*1000000/F21</f>
        <v>8911.40449989891</v>
      </c>
    </row>
    <row r="22" customFormat="false" ht="15" hidden="false" customHeight="false" outlineLevel="0" collapsed="false">
      <c r="A22" s="2" t="s">
        <v>27</v>
      </c>
      <c r="B22" s="3" t="n">
        <v>0.7</v>
      </c>
      <c r="C22" s="3" t="n">
        <f aca="false">1-B22</f>
        <v>0.3</v>
      </c>
      <c r="D22" s="4" t="n">
        <v>82520</v>
      </c>
      <c r="E22" s="4" t="n">
        <f aca="false">D22*C22</f>
        <v>24756</v>
      </c>
      <c r="F22" s="4" t="n">
        <v>9120813</v>
      </c>
      <c r="G22" s="4" t="n">
        <f aca="false">E22*1000000/F22</f>
        <v>2714.2317247377</v>
      </c>
    </row>
    <row r="23" customFormat="false" ht="15" hidden="false" customHeight="false" outlineLevel="0" collapsed="false">
      <c r="A23" s="2" t="s">
        <v>28</v>
      </c>
      <c r="B23" s="3" t="n">
        <v>0.7</v>
      </c>
      <c r="C23" s="3" t="n">
        <f aca="false">1-B23</f>
        <v>0.3</v>
      </c>
      <c r="D23" s="4" t="n">
        <v>20136</v>
      </c>
      <c r="E23" s="4" t="n">
        <f aca="false">D23*C23</f>
        <v>6040.8</v>
      </c>
      <c r="F23" s="4" t="n">
        <v>2118697</v>
      </c>
      <c r="G23" s="4" t="n">
        <f aca="false">E23*1000000/F23</f>
        <v>2851.18636595983</v>
      </c>
    </row>
    <row r="24" customFormat="false" ht="15" hidden="false" customHeight="false" outlineLevel="0" collapsed="false">
      <c r="A24" s="2" t="s">
        <v>29</v>
      </c>
      <c r="B24" s="3" t="n">
        <v>0.7</v>
      </c>
      <c r="C24" s="3" t="n">
        <f aca="false">1-B24</f>
        <v>0.3</v>
      </c>
      <c r="D24" s="4" t="n">
        <v>364270</v>
      </c>
      <c r="E24" s="4" t="n">
        <f aca="false">D24*C24</f>
        <v>109281</v>
      </c>
      <c r="F24" s="4" t="n">
        <v>5576660</v>
      </c>
      <c r="G24" s="4" t="n">
        <f aca="false">E24*1000000/F24</f>
        <v>19596.1381902429</v>
      </c>
    </row>
    <row r="25" customFormat="false" ht="15" hidden="false" customHeight="false" outlineLevel="0" collapsed="false">
      <c r="A25" s="2" t="s">
        <v>30</v>
      </c>
      <c r="B25" s="3" t="n">
        <v>0.7</v>
      </c>
      <c r="C25" s="3" t="n">
        <f aca="false">1-B25</f>
        <v>0.3</v>
      </c>
      <c r="D25" s="4" t="n">
        <v>27400</v>
      </c>
      <c r="E25" s="4" t="n">
        <f aca="false">D25*C25</f>
        <v>8220</v>
      </c>
      <c r="F25" s="4" t="n">
        <v>2791765</v>
      </c>
      <c r="G25" s="4" t="n">
        <f aca="false">E25*1000000/F25</f>
        <v>2944.37389966562</v>
      </c>
    </row>
    <row r="26" customFormat="false" ht="15" hidden="false" customHeight="false" outlineLevel="0" collapsed="false">
      <c r="A26" s="2" t="s">
        <v>31</v>
      </c>
      <c r="B26" s="3" t="n">
        <v>0.7</v>
      </c>
      <c r="C26" s="3" t="n">
        <f aca="false">1-B26</f>
        <v>0.3</v>
      </c>
      <c r="D26" s="4" t="n">
        <v>51200</v>
      </c>
      <c r="E26" s="4" t="n">
        <f aca="false">D26*C26</f>
        <v>15360</v>
      </c>
      <c r="F26" s="4" t="n">
        <v>3164253</v>
      </c>
      <c r="G26" s="4" t="n">
        <f aca="false">E26*1000000/F26</f>
        <v>4854.22625814055</v>
      </c>
    </row>
    <row r="27" customFormat="false" ht="15" hidden="false" customHeight="false" outlineLevel="0" collapsed="false">
      <c r="A27" s="2" t="s">
        <v>32</v>
      </c>
      <c r="B27" s="3" t="n">
        <v>0.7</v>
      </c>
      <c r="C27" s="3" t="n">
        <f aca="false">1-B27</f>
        <v>0.3</v>
      </c>
      <c r="D27" s="4" t="n">
        <v>111890</v>
      </c>
      <c r="E27" s="4" t="n">
        <f aca="false">D27*C27</f>
        <v>33567</v>
      </c>
      <c r="F27" s="4" t="n">
        <v>10825704</v>
      </c>
      <c r="G27" s="4" t="n">
        <f aca="false">E27*1000000/F27</f>
        <v>3100.67594680217</v>
      </c>
    </row>
    <row r="28" customFormat="false" ht="15" hidden="false" customHeight="false" outlineLevel="0" collapsed="false">
      <c r="A28" s="2" t="s">
        <v>33</v>
      </c>
      <c r="B28" s="3" t="n">
        <v>0.7</v>
      </c>
      <c r="C28" s="3" t="n">
        <f aca="false">1-B28</f>
        <v>0.3</v>
      </c>
      <c r="D28" s="4" t="n">
        <v>452860</v>
      </c>
      <c r="E28" s="4" t="n">
        <f aca="false">D28*C28</f>
        <v>135858</v>
      </c>
      <c r="F28" s="4" t="n">
        <v>10576502</v>
      </c>
      <c r="G28" s="4" t="n">
        <f aca="false">E28*1000000/F28</f>
        <v>12845.2677454228</v>
      </c>
    </row>
    <row r="29" customFormat="false" ht="15" hidden="false" customHeight="false" outlineLevel="0" collapsed="false">
      <c r="A29" s="2" t="s">
        <v>34</v>
      </c>
      <c r="B29" s="3" t="n">
        <v>0.65</v>
      </c>
      <c r="C29" s="3" t="n">
        <f aca="false">1-B29</f>
        <v>0.35</v>
      </c>
      <c r="D29" s="4" t="n">
        <v>27560</v>
      </c>
      <c r="E29" s="4" t="n">
        <f aca="false">D29*C29</f>
        <v>9646</v>
      </c>
      <c r="F29" s="4" t="n">
        <v>11772557</v>
      </c>
      <c r="G29" s="4" t="n">
        <f aca="false">E29*1000000/F29</f>
        <v>819.363202063919</v>
      </c>
    </row>
    <row r="30" customFormat="false" ht="15" hidden="false" customHeight="false" outlineLevel="0" collapsed="false">
      <c r="A30" s="2" t="s">
        <v>35</v>
      </c>
      <c r="B30" s="3" t="n">
        <v>0.6</v>
      </c>
      <c r="C30" s="3" t="n">
        <f aca="false">1-B30</f>
        <v>0.4</v>
      </c>
      <c r="D30" s="4" t="n">
        <v>769630</v>
      </c>
      <c r="E30" s="4" t="n">
        <f aca="false">D30*C30</f>
        <v>307852</v>
      </c>
      <c r="F30" s="4" t="n">
        <v>87473805</v>
      </c>
      <c r="G30" s="4" t="n">
        <f aca="false">E30*1000000/F30</f>
        <v>3519.36216790844</v>
      </c>
    </row>
    <row r="31" customFormat="false" ht="15" hidden="false" customHeight="false" outlineLevel="0" collapsed="false">
      <c r="A31" s="2" t="s">
        <v>36</v>
      </c>
      <c r="B31" s="3" t="n">
        <v>0.6</v>
      </c>
      <c r="C31" s="3" t="n">
        <f aca="false">1-B31</f>
        <v>0.4</v>
      </c>
      <c r="D31" s="4" t="n">
        <v>107160</v>
      </c>
      <c r="E31" s="4" t="n">
        <f aca="false">D31*C31</f>
        <v>42864</v>
      </c>
      <c r="F31" s="4" t="n">
        <v>18406359</v>
      </c>
      <c r="G31" s="4" t="n">
        <f aca="false">E31*1000000/F31</f>
        <v>2328.7604028586</v>
      </c>
    </row>
    <row r="32" customFormat="false" ht="15" hidden="false" customHeight="false" outlineLevel="0" collapsed="false">
      <c r="A32" s="2" t="s">
        <v>37</v>
      </c>
      <c r="B32" s="3" t="n">
        <v>0.6</v>
      </c>
      <c r="C32" s="3" t="n">
        <f aca="false">1-B32</f>
        <v>0.4</v>
      </c>
      <c r="D32" s="4" t="n">
        <v>24670</v>
      </c>
      <c r="E32" s="4" t="n">
        <f aca="false">D32*C32</f>
        <v>9868</v>
      </c>
      <c r="F32" s="4" t="n">
        <v>14256567</v>
      </c>
      <c r="G32" s="4" t="n">
        <f aca="false">E32*1000000/F32</f>
        <v>692.172245955145</v>
      </c>
    </row>
    <row r="33" customFormat="false" ht="15" hidden="false" customHeight="false" outlineLevel="0" collapsed="false">
      <c r="A33" s="2" t="s">
        <v>38</v>
      </c>
      <c r="B33" s="3" t="n">
        <v>0.6</v>
      </c>
      <c r="C33" s="3" t="n">
        <f aca="false">1-B33</f>
        <v>0.4</v>
      </c>
      <c r="D33" s="4" t="n">
        <v>263310</v>
      </c>
      <c r="E33" s="4" t="n">
        <f aca="false">D33*C33</f>
        <v>105324</v>
      </c>
      <c r="F33" s="4" t="n">
        <v>5213944</v>
      </c>
      <c r="G33" s="4" t="n">
        <f aca="false">E33*1000000/F33</f>
        <v>20200.447108753</v>
      </c>
    </row>
    <row r="34" customFormat="false" ht="15" hidden="false" customHeight="false" outlineLevel="0" collapsed="false">
      <c r="A34" s="2" t="s">
        <v>39</v>
      </c>
      <c r="B34" s="3" t="n">
        <v>0.55</v>
      </c>
      <c r="C34" s="3" t="n">
        <f aca="false">1-B34</f>
        <v>0.45</v>
      </c>
      <c r="D34" s="4" t="n">
        <v>1622500</v>
      </c>
      <c r="E34" s="4" t="n">
        <f aca="false">D34*C34</f>
        <v>730125</v>
      </c>
      <c r="F34" s="4" t="n">
        <v>91567738</v>
      </c>
      <c r="G34" s="4" t="n">
        <f aca="false">E34*1000000/F34</f>
        <v>7973.60528879724</v>
      </c>
    </row>
    <row r="35" customFormat="false" ht="15" hidden="false" customHeight="false" outlineLevel="0" collapsed="false">
      <c r="A35" s="2" t="s">
        <v>40</v>
      </c>
      <c r="B35" s="3" t="n">
        <v>0.5</v>
      </c>
      <c r="C35" s="3" t="n">
        <f aca="false">1-B35</f>
        <v>0.5</v>
      </c>
      <c r="D35" s="4" t="n">
        <v>652670</v>
      </c>
      <c r="E35" s="4" t="n">
        <f aca="false">D35*C35</f>
        <v>326335</v>
      </c>
      <c r="F35" s="4" t="n">
        <v>54500091</v>
      </c>
      <c r="G35" s="4" t="n">
        <f aca="false">E35*1000000/F35</f>
        <v>5987.78816717939</v>
      </c>
    </row>
    <row r="36" customFormat="false" ht="15" hidden="false" customHeight="false" outlineLevel="0" collapsed="false">
      <c r="A36" s="2" t="s">
        <v>41</v>
      </c>
      <c r="B36" s="3" t="n">
        <v>0.5</v>
      </c>
      <c r="C36" s="3" t="n">
        <f aca="false">1-B36</f>
        <v>0.5</v>
      </c>
      <c r="D36" s="4" t="n">
        <v>298170</v>
      </c>
      <c r="E36" s="4" t="n">
        <f aca="false">D36*C36</f>
        <v>149085</v>
      </c>
      <c r="F36" s="4" t="n">
        <v>115843670</v>
      </c>
      <c r="G36" s="4" t="n">
        <f aca="false">E36*1000000/F36</f>
        <v>1286.9499041251</v>
      </c>
    </row>
    <row r="37" customFormat="false" ht="15" hidden="false" customHeight="false" outlineLevel="0" collapsed="false">
      <c r="A37" s="2" t="s">
        <v>42</v>
      </c>
      <c r="B37" s="3" t="n">
        <v>0.5</v>
      </c>
      <c r="C37" s="3" t="n">
        <f aca="false">1-B37</f>
        <v>0.5</v>
      </c>
      <c r="D37" s="4" t="n">
        <v>1943950</v>
      </c>
      <c r="E37" s="4" t="n">
        <f aca="false">D37*C37</f>
        <v>971975</v>
      </c>
      <c r="F37" s="4" t="n">
        <v>130861007</v>
      </c>
      <c r="G37" s="4" t="n">
        <f aca="false">E37*1000000/F37</f>
        <v>7427.53721893642</v>
      </c>
    </row>
    <row r="38" customFormat="false" ht="15" hidden="false" customHeight="false" outlineLevel="0" collapsed="false">
      <c r="A38" s="2" t="s">
        <v>43</v>
      </c>
      <c r="B38" s="3" t="n">
        <v>0.5</v>
      </c>
      <c r="C38" s="3" t="n">
        <f aca="false">1-B38</f>
        <v>0.5</v>
      </c>
      <c r="D38" s="4" t="n">
        <v>25680</v>
      </c>
      <c r="E38" s="4" t="n">
        <f aca="false">D38*C38</f>
        <v>12840</v>
      </c>
      <c r="F38" s="4" t="n">
        <v>14047786</v>
      </c>
      <c r="G38" s="4" t="n">
        <f aca="false">E38*1000000/F38</f>
        <v>914.023035373688</v>
      </c>
    </row>
    <row r="39" customFormat="false" ht="15" hidden="false" customHeight="false" outlineLevel="0" collapsed="false">
      <c r="A39" s="2" t="s">
        <v>44</v>
      </c>
      <c r="B39" s="3" t="n">
        <v>0.45</v>
      </c>
      <c r="C39" s="3" t="n">
        <f aca="false">1-B39</f>
        <v>0.55</v>
      </c>
      <c r="D39" s="4" t="n">
        <v>82650</v>
      </c>
      <c r="E39" s="4" t="n">
        <f aca="false">D39*C39</f>
        <v>45457.5</v>
      </c>
      <c r="F39" s="4" t="n">
        <v>10336578</v>
      </c>
      <c r="G39" s="4" t="n">
        <f aca="false">E39*1000000/F39</f>
        <v>4397.73201537298</v>
      </c>
    </row>
    <row r="40" customFormat="false" ht="15" hidden="false" customHeight="false" outlineLevel="0" collapsed="false">
      <c r="A40" s="2" t="s">
        <v>45</v>
      </c>
      <c r="B40" s="3" t="n">
        <v>0.4</v>
      </c>
      <c r="C40" s="3" t="n">
        <f aca="false">1-B40</f>
        <v>0.6</v>
      </c>
      <c r="D40" s="4" t="n">
        <v>1557507</v>
      </c>
      <c r="E40" s="4" t="n">
        <f aca="false">D40*C40</f>
        <v>934504.2</v>
      </c>
      <c r="F40" s="4" t="n">
        <v>3475540</v>
      </c>
      <c r="G40" s="4" t="n">
        <f aca="false">E40*1000000/F40</f>
        <v>268880.289106153</v>
      </c>
    </row>
    <row r="41" customFormat="false" ht="15" hidden="false" customHeight="false" outlineLevel="0" collapsed="false">
      <c r="A41" s="2" t="s">
        <v>46</v>
      </c>
      <c r="B41" s="3" t="n">
        <v>0.4</v>
      </c>
      <c r="C41" s="3" t="n">
        <f aca="false">1-B41</f>
        <v>0.6</v>
      </c>
      <c r="D41" s="4" t="n">
        <v>882363</v>
      </c>
      <c r="E41" s="4" t="n">
        <f aca="false">D41*C41</f>
        <v>529417.8</v>
      </c>
      <c r="F41" s="4" t="n">
        <v>255300000</v>
      </c>
      <c r="G41" s="4" t="n">
        <f aca="false">E41*1000000/F41</f>
        <v>2073.70857814336</v>
      </c>
    </row>
    <row r="42" customFormat="false" ht="15" hidden="false" customHeight="false" outlineLevel="0" collapsed="false">
      <c r="A42" s="2" t="s">
        <v>47</v>
      </c>
      <c r="B42" s="3" t="n">
        <v>0.4</v>
      </c>
      <c r="C42" s="3" t="n">
        <f aca="false">1-B42</f>
        <v>0.6</v>
      </c>
      <c r="D42" s="4" t="n">
        <v>331212</v>
      </c>
      <c r="E42" s="4" t="n">
        <f aca="false">D42*C42</f>
        <v>198727.2</v>
      </c>
      <c r="F42" s="4" t="n">
        <v>100987687</v>
      </c>
      <c r="G42" s="4" t="n">
        <f aca="false">E42*1000000/F42</f>
        <v>1967.83594023695</v>
      </c>
    </row>
    <row r="43" customFormat="false" ht="15" hidden="false" customHeight="false" outlineLevel="0" collapsed="false">
      <c r="A43" s="2" t="s">
        <v>48</v>
      </c>
      <c r="B43" s="3" t="n">
        <v>0.4</v>
      </c>
      <c r="C43" s="3" t="n">
        <f aca="false">1-B43</f>
        <v>0.6</v>
      </c>
      <c r="D43" s="4" t="n">
        <v>1892555</v>
      </c>
      <c r="E43" s="4" t="n">
        <f aca="false">D43*C43</f>
        <v>1135533</v>
      </c>
      <c r="F43" s="4" t="n">
        <v>283487931</v>
      </c>
      <c r="G43" s="4" t="n">
        <f aca="false">E43*1000000/F43</f>
        <v>4005.57793058217</v>
      </c>
    </row>
    <row r="44" customFormat="false" ht="15" hidden="false" customHeight="false" outlineLevel="0" collapsed="false">
      <c r="A44" s="2" t="s">
        <v>49</v>
      </c>
      <c r="B44" s="3" t="n">
        <v>0.4</v>
      </c>
      <c r="C44" s="3" t="n">
        <f aca="false">1-B44</f>
        <v>0.6</v>
      </c>
      <c r="D44" s="4" t="n">
        <v>527970</v>
      </c>
      <c r="E44" s="4" t="n">
        <f aca="false">D44*C44</f>
        <v>316782</v>
      </c>
      <c r="F44" s="4" t="n">
        <v>40583165</v>
      </c>
      <c r="G44" s="4" t="n">
        <f aca="false">E44*1000000/F44</f>
        <v>7805.74900947228</v>
      </c>
    </row>
    <row r="45" customFormat="false" ht="15" hidden="false" customHeight="false" outlineLevel="0" collapsed="false">
      <c r="A45" s="2" t="s">
        <v>50</v>
      </c>
      <c r="B45" s="3" t="n">
        <v>0.4</v>
      </c>
      <c r="C45" s="3" t="n">
        <f aca="false">1-B45</f>
        <v>0.6</v>
      </c>
      <c r="D45" s="4" t="n">
        <v>48080</v>
      </c>
      <c r="E45" s="4" t="n">
        <f aca="false">D45*C45</f>
        <v>28848</v>
      </c>
      <c r="F45" s="4" t="n">
        <v>5506760</v>
      </c>
      <c r="G45" s="4" t="n">
        <f aca="false">E45*1000000/F45</f>
        <v>5238.6521293828</v>
      </c>
    </row>
    <row r="46" customFormat="false" ht="15" hidden="false" customHeight="false" outlineLevel="0" collapsed="false">
      <c r="A46" s="2" t="s">
        <v>51</v>
      </c>
      <c r="B46" s="3" t="n">
        <v>0.4</v>
      </c>
      <c r="C46" s="3" t="n">
        <f aca="false">1-B46</f>
        <v>0.6</v>
      </c>
      <c r="D46" s="4" t="n">
        <v>20720</v>
      </c>
      <c r="E46" s="4" t="n">
        <f aca="false">D46*C46</f>
        <v>12432</v>
      </c>
      <c r="F46" s="4" t="n">
        <v>6338193</v>
      </c>
      <c r="G46" s="4" t="n">
        <f aca="false">E46*1000000/F46</f>
        <v>1961.44232275666</v>
      </c>
    </row>
    <row r="47" customFormat="false" ht="15" hidden="false" customHeight="false" outlineLevel="0" collapsed="false">
      <c r="A47" s="2" t="s">
        <v>52</v>
      </c>
      <c r="B47" s="3" t="n">
        <v>0.4</v>
      </c>
      <c r="C47" s="3" t="n">
        <f aca="false">1-B47</f>
        <v>0.6</v>
      </c>
      <c r="D47" s="4" t="n">
        <v>51060</v>
      </c>
      <c r="E47" s="4" t="n">
        <f aca="false">D47*C47</f>
        <v>30636</v>
      </c>
      <c r="F47" s="4" t="n">
        <v>5129910</v>
      </c>
      <c r="G47" s="4" t="n">
        <f aca="false">E47*1000000/F47</f>
        <v>5972.03459709819</v>
      </c>
    </row>
    <row r="48" customFormat="false" ht="15" hidden="false" customHeight="false" outlineLevel="0" collapsed="false">
      <c r="A48" s="2" t="s">
        <v>53</v>
      </c>
      <c r="B48" s="3" t="n">
        <v>0.4</v>
      </c>
      <c r="C48" s="3" t="n">
        <f aca="false">1-B48</f>
        <v>0.6</v>
      </c>
      <c r="D48" s="4" t="n">
        <v>48198</v>
      </c>
      <c r="E48" s="4" t="n">
        <f aca="false">D48*C48</f>
        <v>28918.8</v>
      </c>
      <c r="F48" s="4" t="n">
        <v>11427557</v>
      </c>
      <c r="G48" s="4" t="n">
        <f aca="false">E48*1000000/F48</f>
        <v>2530.61962412439</v>
      </c>
    </row>
    <row r="49" customFormat="false" ht="15" hidden="false" customHeight="false" outlineLevel="0" collapsed="false">
      <c r="A49" s="2" t="s">
        <v>54</v>
      </c>
      <c r="B49" s="3" t="n">
        <v>0.4</v>
      </c>
      <c r="C49" s="3" t="n">
        <f aca="false">1-B49</f>
        <v>0.6</v>
      </c>
      <c r="D49" s="4" t="n">
        <v>1280000</v>
      </c>
      <c r="E49" s="4" t="n">
        <f aca="false">D49*C49</f>
        <v>768000</v>
      </c>
      <c r="F49" s="4" t="n">
        <v>34217848</v>
      </c>
      <c r="G49" s="4" t="n">
        <f aca="false">E49*1000000/F49</f>
        <v>22444.4272474412</v>
      </c>
    </row>
    <row r="50" customFormat="false" ht="15" hidden="false" customHeight="false" outlineLevel="0" collapsed="false">
      <c r="A50" s="2" t="s">
        <v>55</v>
      </c>
      <c r="B50" s="3" t="n">
        <v>0.4</v>
      </c>
      <c r="C50" s="3" t="n">
        <f aca="false">1-B50</f>
        <v>0.6</v>
      </c>
      <c r="D50" s="4" t="n">
        <v>1083300</v>
      </c>
      <c r="E50" s="4" t="n">
        <f aca="false">D50*C50</f>
        <v>649980</v>
      </c>
      <c r="F50" s="4" t="n">
        <v>12413315</v>
      </c>
      <c r="G50" s="4" t="n">
        <f aca="false">E50*1000000/F50</f>
        <v>52361.5166456342</v>
      </c>
    </row>
    <row r="51" customFormat="false" ht="15" hidden="false" customHeight="false" outlineLevel="0" collapsed="false">
      <c r="A51" s="2" t="s">
        <v>56</v>
      </c>
      <c r="B51" s="3" t="n">
        <v>0.4</v>
      </c>
      <c r="C51" s="3" t="n">
        <f aca="false">1-B51</f>
        <v>0.6</v>
      </c>
      <c r="D51" s="4" t="n">
        <v>1128571</v>
      </c>
      <c r="E51" s="4" t="n">
        <f aca="false">D51*C51</f>
        <v>677142.6</v>
      </c>
      <c r="F51" s="4" t="n">
        <v>132059768</v>
      </c>
      <c r="G51" s="4" t="n">
        <f aca="false">E51*1000000/F51</f>
        <v>5127.54649091917</v>
      </c>
    </row>
    <row r="52" customFormat="false" ht="15" hidden="false" customHeight="false" outlineLevel="0" collapsed="false">
      <c r="A52" s="2" t="s">
        <v>57</v>
      </c>
      <c r="B52" s="3" t="n">
        <v>0.35</v>
      </c>
      <c r="C52" s="3" t="n">
        <f aca="false">1-B52</f>
        <v>0.65</v>
      </c>
      <c r="D52" s="4" t="n">
        <v>295720</v>
      </c>
      <c r="E52" s="4" t="n">
        <f aca="false">D52*C52</f>
        <v>192218</v>
      </c>
      <c r="F52" s="4" t="n">
        <v>59342867</v>
      </c>
      <c r="G52" s="4" t="n">
        <f aca="false">E52*1000000/F52</f>
        <v>3239.10875421641</v>
      </c>
    </row>
    <row r="53" customFormat="false" ht="15" hidden="false" customHeight="false" outlineLevel="0" collapsed="false">
      <c r="A53" s="2" t="s">
        <v>58</v>
      </c>
      <c r="B53" s="3" t="n">
        <v>0.33</v>
      </c>
      <c r="C53" s="3" t="n">
        <f aca="false">1-B53</f>
        <v>0.67</v>
      </c>
      <c r="D53" s="4" t="n">
        <v>9388210</v>
      </c>
      <c r="E53" s="4" t="n">
        <f aca="false">D53*C53</f>
        <v>6290100.7</v>
      </c>
      <c r="F53" s="4" t="n">
        <v>1419321278</v>
      </c>
      <c r="G53" s="4" t="n">
        <f aca="false">E53*1000000/F53</f>
        <v>4431.76664614197</v>
      </c>
    </row>
    <row r="54" customFormat="false" ht="15" hidden="false" customHeight="false" outlineLevel="0" collapsed="false">
      <c r="A54" s="2" t="s">
        <v>59</v>
      </c>
      <c r="B54" s="3" t="n">
        <v>0.3</v>
      </c>
      <c r="C54" s="3" t="n">
        <f aca="false">1-B54</f>
        <v>0.7</v>
      </c>
      <c r="D54" s="4" t="n">
        <v>510890</v>
      </c>
      <c r="E54" s="4" t="n">
        <f aca="false">D54*C54</f>
        <v>357623</v>
      </c>
      <c r="F54" s="4" t="n">
        <v>71668011</v>
      </c>
      <c r="G54" s="4" t="n">
        <f aca="false">E54*1000000/F54</f>
        <v>4989.99476907487</v>
      </c>
    </row>
    <row r="55" customFormat="false" ht="15" hidden="false" customHeight="false" outlineLevel="0" collapsed="false">
      <c r="A55" s="2" t="s">
        <v>60</v>
      </c>
      <c r="B55" s="3" t="n">
        <v>0.3</v>
      </c>
      <c r="C55" s="3" t="n">
        <f aca="false">1-B55</f>
        <v>0.7</v>
      </c>
      <c r="D55" s="4" t="n">
        <v>108560</v>
      </c>
      <c r="E55" s="4" t="n">
        <f aca="false">D55*C55</f>
        <v>75992</v>
      </c>
      <c r="F55" s="4" t="n">
        <v>6757689</v>
      </c>
      <c r="G55" s="4" t="n">
        <f aca="false">E55*1000000/F55</f>
        <v>11245.2644683708</v>
      </c>
    </row>
    <row r="56" customFormat="false" ht="15" hidden="false" customHeight="false" outlineLevel="0" collapsed="false">
      <c r="A56" s="2" t="s">
        <v>61</v>
      </c>
      <c r="B56" s="3" t="n">
        <v>0.3</v>
      </c>
      <c r="C56" s="3" t="n">
        <f aca="false">1-B56</f>
        <v>0.7</v>
      </c>
      <c r="D56" s="4" t="n">
        <v>88499</v>
      </c>
      <c r="E56" s="4" t="n">
        <f aca="false">D56*C56</f>
        <v>61949.3</v>
      </c>
      <c r="F56" s="4" t="n">
        <v>6567783</v>
      </c>
      <c r="G56" s="4" t="n">
        <f aca="false">E56*1000000/F56</f>
        <v>9432.3000622889</v>
      </c>
    </row>
    <row r="57" customFormat="false" ht="15" hidden="false" customHeight="false" outlineLevel="0" collapsed="false">
      <c r="A57" s="2" t="s">
        <v>62</v>
      </c>
      <c r="B57" s="3" t="n">
        <v>0.3</v>
      </c>
      <c r="C57" s="3" t="n">
        <f aca="false">1-B57</f>
        <v>0.7</v>
      </c>
      <c r="D57" s="4" t="n">
        <v>55960</v>
      </c>
      <c r="E57" s="4" t="n">
        <f aca="false">D57*C57</f>
        <v>39172</v>
      </c>
      <c r="F57" s="4" t="n">
        <v>3875325</v>
      </c>
      <c r="G57" s="4" t="n">
        <f aca="false">E57*1000000/F57</f>
        <v>10108.0554534136</v>
      </c>
    </row>
    <row r="58" customFormat="false" ht="15" hidden="false" customHeight="false" outlineLevel="0" collapsed="false">
      <c r="A58" s="2" t="s">
        <v>63</v>
      </c>
      <c r="B58" s="3" t="n">
        <v>0.3</v>
      </c>
      <c r="C58" s="3" t="n">
        <f aca="false">1-B58</f>
        <v>0.7</v>
      </c>
      <c r="D58" s="4" t="n">
        <v>499714</v>
      </c>
      <c r="E58" s="4" t="n">
        <f aca="false">D58*C58</f>
        <v>349799.8</v>
      </c>
      <c r="F58" s="4" t="n">
        <v>49442844</v>
      </c>
      <c r="G58" s="4" t="n">
        <f aca="false">E58*1000000/F58</f>
        <v>7074.83169859727</v>
      </c>
    </row>
    <row r="59" customFormat="false" ht="15" hidden="false" customHeight="false" outlineLevel="0" collapsed="false">
      <c r="A59" s="2" t="s">
        <v>64</v>
      </c>
      <c r="B59" s="3" t="n">
        <v>0.3</v>
      </c>
      <c r="C59" s="3" t="n">
        <f aca="false">1-B59</f>
        <v>0.7</v>
      </c>
      <c r="D59" s="4" t="n">
        <v>230080</v>
      </c>
      <c r="E59" s="4" t="n">
        <f aca="false">D59*C59</f>
        <v>161056</v>
      </c>
      <c r="F59" s="4" t="n">
        <v>19015088</v>
      </c>
      <c r="G59" s="4" t="n">
        <f aca="false">E59*1000000/F59</f>
        <v>8469.90558234598</v>
      </c>
    </row>
    <row r="60" customFormat="false" ht="15" hidden="false" customHeight="false" outlineLevel="0" collapsed="false">
      <c r="A60" s="2" t="s">
        <v>65</v>
      </c>
      <c r="B60" s="3" t="n">
        <v>0.3</v>
      </c>
      <c r="C60" s="3" t="n">
        <f aca="false">1-B60</f>
        <v>0.7</v>
      </c>
      <c r="D60" s="4" t="n">
        <v>74180</v>
      </c>
      <c r="E60" s="4" t="n">
        <f aca="false">D60*C60</f>
        <v>51926</v>
      </c>
      <c r="F60" s="4" t="n">
        <v>4515577</v>
      </c>
      <c r="G60" s="4" t="n">
        <f aca="false">E60*1000000/F60</f>
        <v>11499.305625837</v>
      </c>
    </row>
    <row r="61" customFormat="false" ht="15" hidden="false" customHeight="false" outlineLevel="0" collapsed="false">
      <c r="A61" s="2" t="s">
        <v>66</v>
      </c>
      <c r="B61" s="3" t="n">
        <v>0.3</v>
      </c>
      <c r="C61" s="3" t="n">
        <f aca="false">1-B61</f>
        <v>0.7</v>
      </c>
      <c r="D61" s="4" t="n">
        <v>1109500</v>
      </c>
      <c r="E61" s="4" t="n">
        <f aca="false">D61*C61</f>
        <v>776650</v>
      </c>
      <c r="F61" s="4" t="n">
        <v>52886364</v>
      </c>
      <c r="G61" s="4" t="n">
        <f aca="false">E61*1000000/F61</f>
        <v>14685.2598904322</v>
      </c>
    </row>
    <row r="62" customFormat="false" ht="15" hidden="false" customHeight="false" outlineLevel="0" collapsed="false">
      <c r="A62" s="2" t="s">
        <v>67</v>
      </c>
      <c r="B62" s="3" t="n">
        <v>0.3</v>
      </c>
      <c r="C62" s="3" t="n">
        <f aca="false">1-B62</f>
        <v>0.7</v>
      </c>
      <c r="D62" s="4" t="n">
        <v>248360</v>
      </c>
      <c r="E62" s="4" t="n">
        <f aca="false">D62*C62</f>
        <v>173852</v>
      </c>
      <c r="F62" s="4" t="n">
        <v>18135478</v>
      </c>
      <c r="G62" s="4" t="n">
        <f aca="false">E62*1000000/F62</f>
        <v>9586.29268001648</v>
      </c>
    </row>
    <row r="63" customFormat="false" ht="15" hidden="false" customHeight="false" outlineLevel="0" collapsed="false">
      <c r="A63" s="2" t="s">
        <v>68</v>
      </c>
      <c r="B63" s="3" t="n">
        <v>0.3</v>
      </c>
      <c r="C63" s="3" t="n">
        <f aca="false">1-B63</f>
        <v>0.7</v>
      </c>
      <c r="D63" s="4" t="n">
        <v>710850</v>
      </c>
      <c r="E63" s="4" t="n">
        <f aca="false">D63*C63</f>
        <v>497595</v>
      </c>
      <c r="F63" s="4" t="n">
        <v>38081173</v>
      </c>
      <c r="G63" s="4" t="n">
        <f aca="false">E63*1000000/F63</f>
        <v>13066.6930874214</v>
      </c>
    </row>
    <row r="64" customFormat="false" ht="15" hidden="false" customHeight="false" outlineLevel="0" collapsed="false">
      <c r="A64" s="2" t="s">
        <v>69</v>
      </c>
      <c r="B64" s="3" t="n">
        <v>0.3</v>
      </c>
      <c r="C64" s="3" t="n">
        <f aca="false">1-B64</f>
        <v>0.7</v>
      </c>
      <c r="D64" s="4" t="n">
        <v>121041</v>
      </c>
      <c r="E64" s="4" t="n">
        <f aca="false">D64*C64</f>
        <v>84728.7</v>
      </c>
      <c r="F64" s="4" t="n">
        <v>3535603</v>
      </c>
      <c r="G64" s="4" t="n">
        <f aca="false">E64*1000000/F64</f>
        <v>23964.427001561</v>
      </c>
    </row>
    <row r="65" customFormat="false" ht="15" hidden="false" customHeight="false" outlineLevel="0" collapsed="false">
      <c r="A65" s="2" t="s">
        <v>70</v>
      </c>
      <c r="B65" s="3" t="n">
        <v>0.3</v>
      </c>
      <c r="C65" s="3" t="n">
        <f aca="false">1-B65</f>
        <v>0.7</v>
      </c>
      <c r="D65" s="4" t="n">
        <v>1213090</v>
      </c>
      <c r="E65" s="4" t="n">
        <f aca="false">D65*C65</f>
        <v>849163</v>
      </c>
      <c r="F65" s="4" t="n">
        <v>64007187</v>
      </c>
      <c r="G65" s="4" t="n">
        <f aca="false">E65*1000000/F65</f>
        <v>13266.6820680621</v>
      </c>
    </row>
    <row r="66" customFormat="false" ht="15" hidden="false" customHeight="false" outlineLevel="0" collapsed="false">
      <c r="A66" s="2" t="s">
        <v>71</v>
      </c>
      <c r="B66" s="3" t="n">
        <v>0.3</v>
      </c>
      <c r="C66" s="3" t="n">
        <f aca="false">1-B66</f>
        <v>0.7</v>
      </c>
      <c r="D66" s="4" t="n">
        <v>94280</v>
      </c>
      <c r="E66" s="4" t="n">
        <f aca="false">D66*C66</f>
        <v>65996</v>
      </c>
      <c r="F66" s="4" t="n">
        <v>21655286</v>
      </c>
      <c r="G66" s="4" t="n">
        <f aca="false">E66*1000000/F66</f>
        <v>3047.57000207709</v>
      </c>
    </row>
    <row r="67" customFormat="false" ht="15" hidden="false" customHeight="false" outlineLevel="0" collapsed="false">
      <c r="A67" s="2" t="s">
        <v>72</v>
      </c>
      <c r="B67" s="3" t="n">
        <v>0.3</v>
      </c>
      <c r="C67" s="3" t="n">
        <f aca="false">1-B67</f>
        <v>0.7</v>
      </c>
      <c r="D67" s="4" t="n">
        <v>581800</v>
      </c>
      <c r="E67" s="4" t="n">
        <f aca="false">D67*C67</f>
        <v>407260</v>
      </c>
      <c r="F67" s="4" t="n">
        <v>31964956</v>
      </c>
      <c r="G67" s="4" t="n">
        <f aca="false">E67*1000000/F67</f>
        <v>12740.8277990434</v>
      </c>
    </row>
    <row r="68" customFormat="false" ht="15" hidden="false" customHeight="false" outlineLevel="0" collapsed="false">
      <c r="A68" s="2" t="s">
        <v>73</v>
      </c>
      <c r="B68" s="3" t="n">
        <v>0.3</v>
      </c>
      <c r="C68" s="3" t="n">
        <f aca="false">1-B68</f>
        <v>0.7</v>
      </c>
      <c r="D68" s="4" t="n">
        <v>18270</v>
      </c>
      <c r="E68" s="4" t="n">
        <f aca="false">D68*C68</f>
        <v>12789</v>
      </c>
      <c r="F68" s="4" t="n">
        <v>928784</v>
      </c>
      <c r="G68" s="4" t="n">
        <f aca="false">E68*1000000/F68</f>
        <v>13769.6170476666</v>
      </c>
    </row>
    <row r="69" customFormat="false" ht="15" hidden="false" customHeight="false" outlineLevel="0" collapsed="false">
      <c r="A69" s="2" t="s">
        <v>74</v>
      </c>
      <c r="B69" s="3" t="n">
        <v>0.25</v>
      </c>
      <c r="C69" s="3" t="n">
        <f aca="false">1-B69</f>
        <v>0.75</v>
      </c>
      <c r="D69" s="4" t="n">
        <v>91606</v>
      </c>
      <c r="E69" s="4" t="n">
        <f aca="false">D69*C69</f>
        <v>68704.5</v>
      </c>
      <c r="F69" s="4" t="n">
        <v>10425293</v>
      </c>
      <c r="G69" s="4" t="n">
        <f aca="false">E69*1000000/F69</f>
        <v>6590.17449197831</v>
      </c>
    </row>
    <row r="70" customFormat="false" ht="15" hidden="false" customHeight="false" outlineLevel="0" collapsed="false">
      <c r="A70" s="2" t="s">
        <v>75</v>
      </c>
      <c r="B70" s="3" t="n">
        <v>0.25</v>
      </c>
      <c r="C70" s="3" t="n">
        <f aca="false">1-B70</f>
        <v>0.75</v>
      </c>
      <c r="D70" s="4" t="n">
        <v>9147590</v>
      </c>
      <c r="E70" s="4" t="n">
        <f aca="false">D70*C70</f>
        <v>6860692.5</v>
      </c>
      <c r="F70" s="4" t="n">
        <v>341730701</v>
      </c>
      <c r="G70" s="4" t="n">
        <f aca="false">E70*1000000/F70</f>
        <v>20076.3129561485</v>
      </c>
    </row>
    <row r="71" customFormat="false" ht="15" hidden="false" customHeight="false" outlineLevel="0" collapsed="false">
      <c r="A71" s="2" t="s">
        <v>76</v>
      </c>
      <c r="B71" s="3" t="n">
        <v>0.25</v>
      </c>
      <c r="C71" s="3" t="n">
        <f aca="false">1-B71</f>
        <v>0.75</v>
      </c>
      <c r="D71" s="4" t="n">
        <v>8788700</v>
      </c>
      <c r="E71" s="4" t="n">
        <f aca="false">D71*C71</f>
        <v>6591525</v>
      </c>
      <c r="F71" s="4" t="n">
        <v>39742430</v>
      </c>
      <c r="G71" s="4" t="n">
        <f aca="false">E71*1000000/F71</f>
        <v>165856.113981958</v>
      </c>
    </row>
    <row r="72" customFormat="false" ht="15" hidden="false" customHeight="false" outlineLevel="0" collapsed="false">
      <c r="A72" s="2" t="s">
        <v>77</v>
      </c>
      <c r="B72" s="3" t="n">
        <v>0.2</v>
      </c>
      <c r="C72" s="3" t="n">
        <f aca="false">1-B72</f>
        <v>0.8</v>
      </c>
      <c r="D72" s="4" t="n">
        <v>440652</v>
      </c>
      <c r="E72" s="4" t="n">
        <f aca="false">D72*C72</f>
        <v>352521.6</v>
      </c>
      <c r="F72" s="4" t="n">
        <v>36361859</v>
      </c>
      <c r="G72" s="4" t="n">
        <f aca="false">E72*1000000/F72</f>
        <v>9694.81785845988</v>
      </c>
    </row>
    <row r="73" customFormat="false" ht="15" hidden="false" customHeight="false" outlineLevel="0" collapsed="false">
      <c r="A73" s="2" t="s">
        <v>78</v>
      </c>
      <c r="B73" s="3" t="n">
        <v>0.2</v>
      </c>
      <c r="C73" s="3" t="n">
        <f aca="false">1-B73</f>
        <v>0.8</v>
      </c>
      <c r="D73" s="4" t="n">
        <v>469930</v>
      </c>
      <c r="E73" s="4" t="n">
        <f aca="false">D73*C73</f>
        <v>375944</v>
      </c>
      <c r="F73" s="4" t="n">
        <v>7494499</v>
      </c>
      <c r="G73" s="4" t="n">
        <f aca="false">E73*1000000/F73</f>
        <v>50162.6593051784</v>
      </c>
    </row>
    <row r="74" customFormat="false" ht="15" hidden="false" customHeight="false" outlineLevel="0" collapsed="false">
      <c r="A74" s="2" t="s">
        <v>79</v>
      </c>
      <c r="B74" s="3" t="n">
        <v>0.2</v>
      </c>
      <c r="C74" s="3" t="n">
        <f aca="false">1-B74</f>
        <v>0.8</v>
      </c>
      <c r="D74" s="4" t="n">
        <v>61860</v>
      </c>
      <c r="E74" s="4" t="n">
        <f aca="false">D74*C74</f>
        <v>49488</v>
      </c>
      <c r="F74" s="4" t="n">
        <v>23103565</v>
      </c>
      <c r="G74" s="4" t="n">
        <f aca="false">E74*1000000/F74</f>
        <v>2142.00708851643</v>
      </c>
    </row>
    <row r="75" customFormat="false" ht="15" hidden="false" customHeight="false" outlineLevel="0" collapsed="false">
      <c r="A75" s="2" t="s">
        <v>80</v>
      </c>
      <c r="B75" s="3" t="n">
        <v>0.2</v>
      </c>
      <c r="C75" s="3" t="n">
        <f aca="false">1-B75</f>
        <v>0.8</v>
      </c>
      <c r="D75" s="4" t="n">
        <v>328550</v>
      </c>
      <c r="E75" s="4" t="n">
        <f aca="false">D75*C75</f>
        <v>262840</v>
      </c>
      <c r="F75" s="4" t="n">
        <v>35557674</v>
      </c>
      <c r="G75" s="4" t="n">
        <f aca="false">E75*1000000/F75</f>
        <v>7391.93457929785</v>
      </c>
    </row>
    <row r="76" customFormat="false" ht="15" hidden="false" customHeight="false" outlineLevel="0" collapsed="false">
      <c r="A76" s="2" t="s">
        <v>81</v>
      </c>
      <c r="B76" s="3" t="n">
        <v>0.2</v>
      </c>
      <c r="C76" s="3" t="n">
        <f aca="false">1-B76</f>
        <v>0.8</v>
      </c>
      <c r="D76" s="4" t="n">
        <v>88794</v>
      </c>
      <c r="E76" s="4" t="n">
        <f aca="false">D76*C76</f>
        <v>71035.2</v>
      </c>
      <c r="F76" s="4" t="n">
        <v>11552876</v>
      </c>
      <c r="G76" s="4" t="n">
        <f aca="false">E76*1000000/F76</f>
        <v>6148.70271264056</v>
      </c>
    </row>
    <row r="77" customFormat="false" ht="15" hidden="false" customHeight="false" outlineLevel="0" collapsed="false">
      <c r="A77" s="2" t="s">
        <v>82</v>
      </c>
      <c r="B77" s="3" t="n">
        <v>0.2</v>
      </c>
      <c r="C77" s="3" t="n">
        <f aca="false">1-B77</f>
        <v>0.8</v>
      </c>
      <c r="D77" s="4" t="n">
        <v>547557</v>
      </c>
      <c r="E77" s="4" t="n">
        <f aca="false">D77*C77</f>
        <v>438045.6</v>
      </c>
      <c r="F77" s="4" t="n">
        <v>66548531</v>
      </c>
      <c r="G77" s="4" t="n">
        <f aca="false">E77*1000000/F77</f>
        <v>6582.3481513063</v>
      </c>
    </row>
    <row r="78" customFormat="false" ht="15" hidden="false" customHeight="false" outlineLevel="0" collapsed="false">
      <c r="A78" s="2" t="s">
        <v>83</v>
      </c>
      <c r="B78" s="3" t="n">
        <v>0.2</v>
      </c>
      <c r="C78" s="3" t="n">
        <f aca="false">1-B78</f>
        <v>0.8</v>
      </c>
      <c r="D78" s="4" t="n">
        <v>120340</v>
      </c>
      <c r="E78" s="4" t="n">
        <f aca="false">D78*C78</f>
        <v>96272</v>
      </c>
      <c r="F78" s="4" t="n">
        <v>6916140</v>
      </c>
      <c r="G78" s="4" t="n">
        <f aca="false">E78*1000000/F78</f>
        <v>13919.9032986608</v>
      </c>
    </row>
    <row r="79" customFormat="false" ht="15" hidden="false" customHeight="false" outlineLevel="0" collapsed="false">
      <c r="A79" s="2" t="s">
        <v>84</v>
      </c>
      <c r="B79" s="3" t="n">
        <v>0.2</v>
      </c>
      <c r="C79" s="3" t="n">
        <f aca="false">1-B79</f>
        <v>0.8</v>
      </c>
      <c r="D79" s="4" t="n">
        <v>10830</v>
      </c>
      <c r="E79" s="4" t="n">
        <f aca="false">D79*C79</f>
        <v>8664</v>
      </c>
      <c r="F79" s="4" t="n">
        <v>2839175</v>
      </c>
      <c r="G79" s="4" t="n">
        <f aca="false">E79*1000000/F79</f>
        <v>3051.59069095776</v>
      </c>
    </row>
    <row r="80" customFormat="false" ht="15" hidden="false" customHeight="false" outlineLevel="0" collapsed="false">
      <c r="A80" s="2" t="s">
        <v>85</v>
      </c>
      <c r="B80" s="3" t="n">
        <v>0.2</v>
      </c>
      <c r="C80" s="3" t="n">
        <f aca="false">1-B80</f>
        <v>0.8</v>
      </c>
      <c r="D80" s="4" t="n">
        <v>882050</v>
      </c>
      <c r="E80" s="4" t="n">
        <f aca="false">D80*C80</f>
        <v>705640</v>
      </c>
      <c r="F80" s="4" t="n">
        <v>28405543</v>
      </c>
      <c r="G80" s="4" t="n">
        <f aca="false">E80*1000000/F80</f>
        <v>24841.6303817885</v>
      </c>
    </row>
    <row r="81" customFormat="false" ht="15" hidden="false" customHeight="false" outlineLevel="0" collapsed="false">
      <c r="A81" s="2" t="s">
        <v>86</v>
      </c>
      <c r="B81" s="3" t="n">
        <v>0.2</v>
      </c>
      <c r="C81" s="3" t="n">
        <f aca="false">1-B81</f>
        <v>0.8</v>
      </c>
      <c r="D81" s="4" t="n">
        <v>196850</v>
      </c>
      <c r="E81" s="4" t="n">
        <f aca="false">D81*C81</f>
        <v>157480</v>
      </c>
      <c r="F81" s="4" t="n">
        <v>831087</v>
      </c>
      <c r="G81" s="4" t="n">
        <f aca="false">E81*1000000/F81</f>
        <v>189486.780565693</v>
      </c>
    </row>
    <row r="82" customFormat="false" ht="15" hidden="false" customHeight="false" outlineLevel="0" collapsed="false">
      <c r="A82" s="2" t="s">
        <v>87</v>
      </c>
      <c r="B82" s="3" t="n">
        <v>0.2</v>
      </c>
      <c r="C82" s="3" t="n">
        <f aca="false">1-B82</f>
        <v>0.8</v>
      </c>
      <c r="D82" s="4" t="n">
        <v>569140</v>
      </c>
      <c r="E82" s="4" t="n">
        <f aca="false">D82*C82</f>
        <v>455312</v>
      </c>
      <c r="F82" s="4" t="n">
        <v>56432945</v>
      </c>
      <c r="G82" s="4" t="n">
        <f aca="false">E82*1000000/F82</f>
        <v>8068.19491699397</v>
      </c>
    </row>
    <row r="83" customFormat="false" ht="15" hidden="false" customHeight="false" outlineLevel="0" collapsed="false">
      <c r="A83" s="2" t="s">
        <v>88</v>
      </c>
      <c r="B83" s="3" t="n">
        <v>0.2</v>
      </c>
      <c r="C83" s="3" t="n">
        <f aca="false">1-B83</f>
        <v>0.8</v>
      </c>
      <c r="D83" s="4" t="n">
        <v>885800</v>
      </c>
      <c r="E83" s="4" t="n">
        <f aca="false">D83*C83</f>
        <v>708640</v>
      </c>
      <c r="F83" s="4" t="n">
        <v>68560157</v>
      </c>
      <c r="G83" s="4" t="n">
        <f aca="false">E83*1000000/F83</f>
        <v>10336.0323401827</v>
      </c>
    </row>
    <row r="84" customFormat="false" ht="15" hidden="false" customHeight="false" outlineLevel="0" collapsed="false">
      <c r="A84" s="2" t="s">
        <v>89</v>
      </c>
      <c r="B84" s="3" t="n">
        <v>0.2</v>
      </c>
      <c r="C84" s="3" t="n">
        <f aca="false">1-B84</f>
        <v>0.8</v>
      </c>
      <c r="D84" s="4" t="n">
        <v>2267050</v>
      </c>
      <c r="E84" s="4" t="n">
        <f aca="false">D84*C84</f>
        <v>1813640</v>
      </c>
      <c r="F84" s="4" t="n">
        <v>109276265</v>
      </c>
      <c r="G84" s="4" t="n">
        <f aca="false">E84*1000000/F84</f>
        <v>16596.8337223092</v>
      </c>
    </row>
    <row r="85" customFormat="false" ht="15" hidden="false" customHeight="false" outlineLevel="0" collapsed="false">
      <c r="A85" s="2" t="s">
        <v>90</v>
      </c>
      <c r="B85" s="3" t="n">
        <v>0.2</v>
      </c>
      <c r="C85" s="3" t="n">
        <f aca="false">1-B85</f>
        <v>0.8</v>
      </c>
      <c r="D85" s="4" t="n">
        <v>472710</v>
      </c>
      <c r="E85" s="4" t="n">
        <f aca="false">D85*C85</f>
        <v>378168</v>
      </c>
      <c r="F85" s="4" t="n">
        <v>29123744</v>
      </c>
      <c r="G85" s="4" t="n">
        <f aca="false">E85*1000000/F85</f>
        <v>12984.8689783841</v>
      </c>
    </row>
    <row r="86" customFormat="false" ht="15" hidden="false" customHeight="false" outlineLevel="0" collapsed="false">
      <c r="A86" s="2" t="s">
        <v>91</v>
      </c>
      <c r="B86" s="3" t="n">
        <v>0.2</v>
      </c>
      <c r="C86" s="3" t="n">
        <f aca="false">1-B86</f>
        <v>0.8</v>
      </c>
      <c r="D86" s="4" t="n">
        <v>386850</v>
      </c>
      <c r="E86" s="4" t="n">
        <f aca="false">D86*C86</f>
        <v>309480</v>
      </c>
      <c r="F86" s="4" t="n">
        <v>16634373</v>
      </c>
      <c r="G86" s="4" t="n">
        <f aca="false">E86*1000000/F86</f>
        <v>18604.8491277669</v>
      </c>
    </row>
    <row r="87" customFormat="false" ht="15" hidden="false" customHeight="false" outlineLevel="0" collapsed="false">
      <c r="A87" s="2" t="s">
        <v>92</v>
      </c>
      <c r="B87" s="3" t="n">
        <v>0.15</v>
      </c>
      <c r="C87" s="3" t="n">
        <f aca="false">1-B87</f>
        <v>0.85</v>
      </c>
      <c r="D87" s="4" t="n">
        <v>2699700</v>
      </c>
      <c r="E87" s="4" t="n">
        <f aca="false">D87*C87</f>
        <v>2294745</v>
      </c>
      <c r="F87" s="4" t="n">
        <v>20592571</v>
      </c>
      <c r="G87" s="4" t="n">
        <f aca="false">E87*1000000/F87</f>
        <v>111435.575480109</v>
      </c>
    </row>
    <row r="88" customFormat="false" ht="15" hidden="false" customHeight="false" outlineLevel="0" collapsed="false">
      <c r="A88" s="2" t="s">
        <v>93</v>
      </c>
      <c r="B88" s="3" t="n">
        <v>0.15</v>
      </c>
      <c r="C88" s="3" t="n">
        <f aca="false">1-B88</f>
        <v>0.85</v>
      </c>
      <c r="D88" s="4" t="n">
        <v>176520</v>
      </c>
      <c r="E88" s="4" t="n">
        <f aca="false">D88*C88</f>
        <v>150042</v>
      </c>
      <c r="F88" s="4" t="n">
        <v>17638801</v>
      </c>
      <c r="G88" s="4" t="n">
        <f aca="false">E88*1000000/F88</f>
        <v>8506.36049468442</v>
      </c>
    </row>
    <row r="89" customFormat="false" ht="15" hidden="false" customHeight="false" outlineLevel="0" collapsed="false">
      <c r="A89" s="2" t="s">
        <v>94</v>
      </c>
      <c r="B89" s="3" t="n">
        <v>0.15</v>
      </c>
      <c r="C89" s="3" t="n">
        <f aca="false">1-B89</f>
        <v>0.85</v>
      </c>
      <c r="D89" s="4" t="n">
        <v>309500</v>
      </c>
      <c r="E89" s="4" t="n">
        <f aca="false">D89*C89</f>
        <v>263075</v>
      </c>
      <c r="F89" s="4" t="n">
        <v>5281538</v>
      </c>
      <c r="G89" s="4" t="n">
        <f aca="false">E89*1000000/F89</f>
        <v>49810.3014690039</v>
      </c>
    </row>
    <row r="90" customFormat="false" ht="15" hidden="false" customHeight="false" outlineLevel="0" collapsed="false">
      <c r="A90" s="2" t="s">
        <v>95</v>
      </c>
      <c r="B90" s="3" t="n">
        <v>0.15</v>
      </c>
      <c r="C90" s="3" t="n">
        <f aca="false">1-B90</f>
        <v>0.85</v>
      </c>
      <c r="D90" s="4" t="n">
        <v>21640</v>
      </c>
      <c r="E90" s="4" t="n">
        <f aca="false">D90*C90</f>
        <v>18394</v>
      </c>
      <c r="F90" s="4" t="n">
        <v>10148000</v>
      </c>
      <c r="G90" s="4" t="n">
        <f aca="false">E90*1000000/F90</f>
        <v>1812.57390618841</v>
      </c>
    </row>
    <row r="91" customFormat="false" ht="15" hidden="false" customHeight="false" outlineLevel="0" collapsed="false">
      <c r="A91" s="2" t="s">
        <v>96</v>
      </c>
      <c r="B91" s="3" t="n">
        <v>0.15</v>
      </c>
      <c r="C91" s="3" t="n">
        <f aca="false">1-B91</f>
        <v>0.85</v>
      </c>
      <c r="D91" s="4" t="n">
        <v>185178</v>
      </c>
      <c r="E91" s="4" t="n">
        <f aca="false">D91*C91</f>
        <v>157401.3</v>
      </c>
      <c r="F91" s="4" t="n">
        <v>24672760</v>
      </c>
      <c r="G91" s="4" t="n">
        <f aca="false">E91*1000000/F91</f>
        <v>6379.55786057174</v>
      </c>
    </row>
    <row r="92" customFormat="false" ht="15" hidden="false" customHeight="false" outlineLevel="0" collapsed="false">
      <c r="A92" s="2" t="s">
        <v>97</v>
      </c>
      <c r="B92" s="3" t="n">
        <v>0.15</v>
      </c>
      <c r="C92" s="3" t="n">
        <f aca="false">1-B92</f>
        <v>0.85</v>
      </c>
      <c r="D92" s="4" t="n">
        <v>349360</v>
      </c>
      <c r="E92" s="4" t="n">
        <f aca="false">D92*C92</f>
        <v>296956</v>
      </c>
      <c r="F92" s="4" t="n">
        <v>84552242</v>
      </c>
      <c r="G92" s="4" t="n">
        <f aca="false">E92*1000000/F92</f>
        <v>3512.10083820131</v>
      </c>
    </row>
    <row r="93" customFormat="false" ht="15" hidden="false" customHeight="false" outlineLevel="0" collapsed="false">
      <c r="A93" s="2" t="s">
        <v>98</v>
      </c>
      <c r="B93" s="3" t="n">
        <v>0.15</v>
      </c>
      <c r="C93" s="3" t="n">
        <f aca="false">1-B93</f>
        <v>0.85</v>
      </c>
      <c r="D93" s="4" t="n">
        <v>242741</v>
      </c>
      <c r="E93" s="4" t="n">
        <f aca="false">D93*C93</f>
        <v>206329.85</v>
      </c>
      <c r="F93" s="4" t="n">
        <v>69281437</v>
      </c>
      <c r="G93" s="4" t="n">
        <f aca="false">E93*1000000/F93</f>
        <v>2978.14045052212</v>
      </c>
    </row>
    <row r="94" customFormat="false" ht="15" hidden="false" customHeight="false" outlineLevel="0" collapsed="false">
      <c r="A94" s="2" t="s">
        <v>99</v>
      </c>
      <c r="B94" s="3" t="n">
        <v>0.15</v>
      </c>
      <c r="C94" s="3" t="n">
        <f aca="false">1-B94</f>
        <v>0.85</v>
      </c>
      <c r="D94" s="4" t="n">
        <v>77171</v>
      </c>
      <c r="E94" s="4" t="n">
        <f aca="false">D94*C94</f>
        <v>65595.35</v>
      </c>
      <c r="F94" s="4" t="n">
        <v>10735860</v>
      </c>
      <c r="G94" s="4" t="n">
        <f aca="false">E94*1000000/F94</f>
        <v>6109.92971219818</v>
      </c>
    </row>
    <row r="95" customFormat="false" ht="15" hidden="false" customHeight="false" outlineLevel="0" collapsed="false">
      <c r="A95" s="2" t="s">
        <v>100</v>
      </c>
      <c r="B95" s="3" t="n">
        <v>0.15</v>
      </c>
      <c r="C95" s="3" t="n">
        <f aca="false">1-B95</f>
        <v>0.85</v>
      </c>
      <c r="D95" s="4" t="n">
        <v>407280</v>
      </c>
      <c r="E95" s="4" t="n">
        <f aca="false">D95*C95</f>
        <v>346188</v>
      </c>
      <c r="F95" s="4" t="n">
        <v>10606999</v>
      </c>
      <c r="G95" s="4" t="n">
        <f aca="false">E95*1000000/F95</f>
        <v>32637.695167125</v>
      </c>
    </row>
    <row r="96" customFormat="false" ht="15" hidden="false" customHeight="false" outlineLevel="0" collapsed="false">
      <c r="A96" s="2" t="s">
        <v>101</v>
      </c>
      <c r="B96" s="3" t="n">
        <v>0.15</v>
      </c>
      <c r="C96" s="3" t="n">
        <f aca="false">1-B96</f>
        <v>0.85</v>
      </c>
      <c r="D96" s="4" t="n">
        <v>2575</v>
      </c>
      <c r="E96" s="4" t="n">
        <f aca="false">D96*C96</f>
        <v>2188.75</v>
      </c>
      <c r="F96" s="4" t="n">
        <v>673036</v>
      </c>
      <c r="G96" s="4" t="n">
        <f aca="false">E96*1000000/F96</f>
        <v>3252.0548677931</v>
      </c>
    </row>
    <row r="97" customFormat="false" ht="15" hidden="false" customHeight="false" outlineLevel="0" collapsed="false">
      <c r="A97" s="2" t="s">
        <v>102</v>
      </c>
      <c r="B97" s="3" t="n">
        <v>0.15</v>
      </c>
      <c r="C97" s="3" t="n">
        <f aca="false">1-B97</f>
        <v>0.85</v>
      </c>
      <c r="D97" s="4" t="n">
        <v>2736690</v>
      </c>
      <c r="E97" s="4" t="n">
        <f aca="false">D97*C97</f>
        <v>2326186.5</v>
      </c>
      <c r="F97" s="4" t="n">
        <v>45696159</v>
      </c>
      <c r="G97" s="4" t="n">
        <f aca="false">E97*1000000/F97</f>
        <v>50905.5148376913</v>
      </c>
    </row>
    <row r="98" customFormat="false" ht="15" hidden="false" customHeight="false" outlineLevel="0" collapsed="false">
      <c r="A98" s="2" t="s">
        <v>103</v>
      </c>
      <c r="B98" s="3" t="n">
        <v>0.15</v>
      </c>
      <c r="C98" s="3" t="n">
        <f aca="false">1-B98</f>
        <v>0.85</v>
      </c>
      <c r="D98" s="4" t="n">
        <v>2381741</v>
      </c>
      <c r="E98" s="4" t="n">
        <f aca="false">D98*C98</f>
        <v>2024479.85</v>
      </c>
      <c r="F98" s="4" t="n">
        <v>47400000</v>
      </c>
      <c r="G98" s="4" t="n">
        <f aca="false">E98*1000000/F98</f>
        <v>42710.5453586498</v>
      </c>
    </row>
    <row r="99" customFormat="false" ht="15" hidden="false" customHeight="false" outlineLevel="0" collapsed="false">
      <c r="A99" s="2" t="s">
        <v>104</v>
      </c>
      <c r="B99" s="3" t="n">
        <v>0.15</v>
      </c>
      <c r="C99" s="3" t="n">
        <f aca="false">1-B99</f>
        <v>0.85</v>
      </c>
      <c r="D99" s="4" t="n">
        <v>200520</v>
      </c>
      <c r="E99" s="4" t="n">
        <f aca="false">D99*C99</f>
        <v>170442</v>
      </c>
      <c r="F99" s="4" t="n">
        <v>50015093</v>
      </c>
      <c r="G99" s="4" t="n">
        <f aca="false">E99*1000000/F99</f>
        <v>3407.81131807553</v>
      </c>
    </row>
    <row r="100" customFormat="false" ht="15" hidden="false" customHeight="false" outlineLevel="0" collapsed="false">
      <c r="A100" s="2" t="s">
        <v>105</v>
      </c>
      <c r="B100" s="3" t="n">
        <v>0.15</v>
      </c>
      <c r="C100" s="3" t="n">
        <f aca="false">1-B100</f>
        <v>0.85</v>
      </c>
      <c r="D100" s="4" t="n">
        <v>823290</v>
      </c>
      <c r="E100" s="4" t="n">
        <f aca="false">D100*C100</f>
        <v>699796.5</v>
      </c>
      <c r="F100" s="4" t="n">
        <v>3030131</v>
      </c>
      <c r="G100" s="4" t="n">
        <f aca="false">E100*1000000/F100</f>
        <v>230945.955801911</v>
      </c>
    </row>
    <row r="101" customFormat="false" ht="15" hidden="false" customHeight="false" outlineLevel="0" collapsed="false">
      <c r="A101" s="2" t="s">
        <v>106</v>
      </c>
      <c r="B101" s="3" t="n">
        <v>0.15</v>
      </c>
      <c r="C101" s="3" t="n">
        <f aca="false">1-B101</f>
        <v>0.85</v>
      </c>
      <c r="D101" s="4" t="n">
        <v>786380</v>
      </c>
      <c r="E101" s="4" t="n">
        <f aca="false">D101*C101</f>
        <v>668423</v>
      </c>
      <c r="F101" s="4" t="n">
        <v>34631766</v>
      </c>
      <c r="G101" s="4" t="n">
        <f aca="false">E101*1000000/F101</f>
        <v>19300.8638369756</v>
      </c>
    </row>
    <row r="102" customFormat="false" ht="15" hidden="false" customHeight="false" outlineLevel="0" collapsed="false">
      <c r="A102" s="2" t="s">
        <v>107</v>
      </c>
      <c r="B102" s="3" t="n">
        <v>0.12</v>
      </c>
      <c r="C102" s="3" t="n">
        <f aca="false">1-B102</f>
        <v>0.88</v>
      </c>
      <c r="D102" s="4" t="n">
        <v>3287263</v>
      </c>
      <c r="E102" s="4" t="n">
        <f aca="false">D102*C102</f>
        <v>2892791.44</v>
      </c>
      <c r="F102" s="4" t="n">
        <v>1450935791</v>
      </c>
      <c r="G102" s="4" t="n">
        <f aca="false">E102*1000000/F102</f>
        <v>1993.74187193098</v>
      </c>
    </row>
    <row r="103" customFormat="false" ht="15" hidden="false" customHeight="false" outlineLevel="0" collapsed="false">
      <c r="A103" s="2" t="s">
        <v>108</v>
      </c>
      <c r="B103" s="3" t="n">
        <v>0.1</v>
      </c>
      <c r="C103" s="3" t="n">
        <f aca="false">1-B103</f>
        <v>0.9</v>
      </c>
      <c r="D103" s="4" t="n">
        <v>434128</v>
      </c>
      <c r="E103" s="4" t="n">
        <f aca="false">D103*C103</f>
        <v>390715.2</v>
      </c>
      <c r="F103" s="4" t="n">
        <v>46042015</v>
      </c>
      <c r="G103" s="4" t="n">
        <f aca="false">E103*1000000/F103</f>
        <v>8486.05778873926</v>
      </c>
    </row>
    <row r="104" customFormat="false" ht="15" hidden="false" customHeight="false" outlineLevel="0" collapsed="false">
      <c r="A104" s="2" t="s">
        <v>109</v>
      </c>
      <c r="B104" s="3" t="n">
        <v>0.1</v>
      </c>
      <c r="C104" s="3" t="n">
        <f aca="false">1-B104</f>
        <v>0.9</v>
      </c>
      <c r="D104" s="4" t="n">
        <v>2149690</v>
      </c>
      <c r="E104" s="4" t="n">
        <f aca="false">D104*C104</f>
        <v>1934721</v>
      </c>
      <c r="F104" s="4" t="n">
        <v>33962757</v>
      </c>
      <c r="G104" s="4" t="n">
        <f aca="false">E104*1000000/F104</f>
        <v>56965.9583290014</v>
      </c>
    </row>
    <row r="105" customFormat="false" ht="15" hidden="false" customHeight="false" outlineLevel="0" collapsed="false">
      <c r="A105" s="2" t="s">
        <v>110</v>
      </c>
      <c r="B105" s="3" t="n">
        <v>0.1</v>
      </c>
      <c r="C105" s="3" t="n">
        <f aca="false">1-B105</f>
        <v>0.9</v>
      </c>
      <c r="D105" s="4" t="n">
        <v>68890</v>
      </c>
      <c r="E105" s="4" t="n">
        <f aca="false">D105*C105</f>
        <v>62001</v>
      </c>
      <c r="F105" s="4" t="n">
        <v>5255018</v>
      </c>
      <c r="G105" s="4" t="n">
        <f aca="false">E105*1000000/F105</f>
        <v>11798.4372270466</v>
      </c>
    </row>
    <row r="106" customFormat="false" ht="15" hidden="false" customHeight="false" outlineLevel="0" collapsed="false">
      <c r="A106" s="2" t="s">
        <v>111</v>
      </c>
      <c r="B106" s="3" t="n">
        <v>0.1</v>
      </c>
      <c r="C106" s="3" t="n">
        <f aca="false">1-B106</f>
        <v>0.9</v>
      </c>
      <c r="D106" s="4" t="n">
        <v>303948</v>
      </c>
      <c r="E106" s="4" t="n">
        <f aca="false">D106*C106</f>
        <v>273553.2</v>
      </c>
      <c r="F106" s="4" t="n">
        <v>5617311</v>
      </c>
      <c r="G106" s="4" t="n">
        <f aca="false">E106*1000000/F106</f>
        <v>48698.2472574511</v>
      </c>
    </row>
    <row r="107" customFormat="false" ht="15" hidden="false" customHeight="false" outlineLevel="0" collapsed="false">
      <c r="A107" s="2" t="s">
        <v>112</v>
      </c>
      <c r="B107" s="3" t="n">
        <v>0.1</v>
      </c>
      <c r="C107" s="3" t="n">
        <f aca="false">1-B107</f>
        <v>0.9</v>
      </c>
      <c r="D107" s="4" t="n">
        <v>109820</v>
      </c>
      <c r="E107" s="4" t="n">
        <f aca="false">D107*C107</f>
        <v>98838</v>
      </c>
      <c r="F107" s="4" t="n">
        <v>9748532</v>
      </c>
      <c r="G107" s="4" t="n">
        <f aca="false">E107*1000000/F107</f>
        <v>10138.7573021251</v>
      </c>
    </row>
    <row r="108" customFormat="false" ht="15" hidden="false" customHeight="false" outlineLevel="0" collapsed="false">
      <c r="A108" s="2" t="s">
        <v>113</v>
      </c>
      <c r="B108" s="3" t="n">
        <v>0.1</v>
      </c>
      <c r="C108" s="3" t="n">
        <f aca="false">1-B108</f>
        <v>0.9</v>
      </c>
      <c r="D108" s="4" t="n">
        <v>8358140</v>
      </c>
      <c r="E108" s="4" t="n">
        <f aca="false">D108*C108</f>
        <v>7522326</v>
      </c>
      <c r="F108" s="4" t="n">
        <v>211998574</v>
      </c>
      <c r="G108" s="4" t="n">
        <f aca="false">E108*1000000/F108</f>
        <v>35482.908484092</v>
      </c>
    </row>
    <row r="109" customFormat="false" ht="15" hidden="false" customHeight="false" outlineLevel="0" collapsed="false">
      <c r="A109" s="2" t="s">
        <v>114</v>
      </c>
      <c r="B109" s="3" t="n">
        <v>0.1</v>
      </c>
      <c r="C109" s="3" t="n">
        <f aca="false">1-B109</f>
        <v>0.9</v>
      </c>
      <c r="D109" s="4" t="n">
        <v>155360</v>
      </c>
      <c r="E109" s="4" t="n">
        <f aca="false">D109*C109</f>
        <v>139824</v>
      </c>
      <c r="F109" s="4" t="n">
        <v>12277109</v>
      </c>
      <c r="G109" s="4" t="n">
        <f aca="false">E109*1000000/F109</f>
        <v>11389.000456052</v>
      </c>
    </row>
    <row r="110" customFormat="false" ht="15" hidden="false" customHeight="false" outlineLevel="0" collapsed="false">
      <c r="A110" s="2" t="s">
        <v>115</v>
      </c>
      <c r="B110" s="3" t="n">
        <v>0.1</v>
      </c>
      <c r="C110" s="3" t="n">
        <f aca="false">1-B110</f>
        <v>0.9</v>
      </c>
      <c r="D110" s="4" t="n">
        <v>1868000</v>
      </c>
      <c r="E110" s="4" t="n">
        <f aca="false">D110*C110</f>
        <v>1681200</v>
      </c>
      <c r="F110" s="4" t="n">
        <v>50448963</v>
      </c>
      <c r="G110" s="4" t="n">
        <f aca="false">E110*1000000/F110</f>
        <v>33324.7682415197</v>
      </c>
    </row>
    <row r="111" customFormat="false" ht="15" hidden="false" customHeight="false" outlineLevel="0" collapsed="false">
      <c r="A111" s="2" t="s">
        <v>116</v>
      </c>
      <c r="B111" s="3" t="n">
        <v>0.1</v>
      </c>
      <c r="C111" s="3" t="n">
        <f aca="false">1-B111</f>
        <v>0.9</v>
      </c>
      <c r="D111" s="4" t="n">
        <v>627340</v>
      </c>
      <c r="E111" s="4" t="n">
        <f aca="false">D111*C111</f>
        <v>564606</v>
      </c>
      <c r="F111" s="4" t="n">
        <v>19009151</v>
      </c>
      <c r="G111" s="4" t="n">
        <f aca="false">E111*1000000/F111</f>
        <v>29701.799938356</v>
      </c>
    </row>
    <row r="112" customFormat="false" ht="15" hidden="false" customHeight="false" outlineLevel="0" collapsed="false">
      <c r="A112" s="2" t="s">
        <v>117</v>
      </c>
      <c r="B112" s="3" t="n">
        <v>0.1</v>
      </c>
      <c r="C112" s="3" t="n">
        <f aca="false">1-B112</f>
        <v>0.9</v>
      </c>
      <c r="D112" s="4" t="n">
        <v>910770</v>
      </c>
      <c r="E112" s="4" t="n">
        <f aca="false">D112*C112</f>
        <v>819693</v>
      </c>
      <c r="F112" s="4" t="n">
        <v>232679478</v>
      </c>
      <c r="G112" s="4" t="n">
        <f aca="false">E112*1000000/F112</f>
        <v>3522.84183824755</v>
      </c>
    </row>
    <row r="113" customFormat="false" ht="15" hidden="false" customHeight="false" outlineLevel="0" collapsed="false">
      <c r="A113" s="2" t="s">
        <v>118</v>
      </c>
      <c r="B113" s="3" t="n">
        <v>0.1</v>
      </c>
      <c r="C113" s="3" t="n">
        <f aca="false">1-B113</f>
        <v>0.9</v>
      </c>
      <c r="D113" s="4" t="n">
        <v>227533</v>
      </c>
      <c r="E113" s="4" t="n">
        <f aca="false">D113*C113</f>
        <v>204779.7</v>
      </c>
      <c r="F113" s="4" t="n">
        <v>34427414</v>
      </c>
      <c r="G113" s="4" t="n">
        <f aca="false">E113*1000000/F113</f>
        <v>5948.15805799413</v>
      </c>
    </row>
    <row r="114" customFormat="false" ht="15" hidden="false" customHeight="false" outlineLevel="0" collapsed="false">
      <c r="A114" s="2" t="s">
        <v>119</v>
      </c>
      <c r="B114" s="3" t="n">
        <v>0.1</v>
      </c>
      <c r="C114" s="3" t="n">
        <f aca="false">1-B114</f>
        <v>0.9</v>
      </c>
      <c r="D114" s="4" t="n">
        <v>743390</v>
      </c>
      <c r="E114" s="4" t="n">
        <f aca="false">D114*C114</f>
        <v>669051</v>
      </c>
      <c r="F114" s="4" t="n">
        <v>21314956</v>
      </c>
      <c r="G114" s="4" t="n">
        <f aca="false">E114*1000000/F114</f>
        <v>31388.8051188095</v>
      </c>
    </row>
    <row r="115" customFormat="false" ht="15" hidden="false" customHeight="false" outlineLevel="0" collapsed="false">
      <c r="A115" s="2" t="s">
        <v>120</v>
      </c>
      <c r="B115" s="3" t="n">
        <v>0.05</v>
      </c>
      <c r="C115" s="3" t="n">
        <f aca="false">1-B115</f>
        <v>0.95</v>
      </c>
      <c r="D115" s="4" t="n">
        <v>71020</v>
      </c>
      <c r="E115" s="4" t="n">
        <f aca="false">D115*C115</f>
        <v>67469</v>
      </c>
      <c r="F115" s="4" t="n">
        <v>11027129</v>
      </c>
      <c r="G115" s="4" t="n">
        <f aca="false">E115*1000000/F115</f>
        <v>6118.45567418319</v>
      </c>
    </row>
    <row r="116" customFormat="false" ht="15" hidden="false" customHeight="false" outlineLevel="0" collapsed="false">
      <c r="A116" s="2" t="s">
        <v>121</v>
      </c>
      <c r="B116" s="3" t="n">
        <v>0.05</v>
      </c>
      <c r="C116" s="3" t="n">
        <f aca="false">1-B116</f>
        <v>0.95</v>
      </c>
      <c r="D116" s="4" t="n">
        <v>306090</v>
      </c>
      <c r="E116" s="4" t="n">
        <f aca="false">D116*C116</f>
        <v>290785.5</v>
      </c>
      <c r="F116" s="4" t="n">
        <v>38539201</v>
      </c>
      <c r="G116" s="4" t="n">
        <f aca="false">E116*1000000/F116</f>
        <v>7545.18756110175</v>
      </c>
    </row>
    <row r="117" customFormat="false" ht="15" hidden="false" customHeight="false" outlineLevel="0" collapsed="false">
      <c r="A117" s="2" t="s">
        <v>122</v>
      </c>
      <c r="B117" s="3" t="n">
        <v>0.05</v>
      </c>
      <c r="C117" s="3" t="n">
        <f aca="false">1-B117</f>
        <v>0.95</v>
      </c>
      <c r="D117" s="4" t="n">
        <v>579400</v>
      </c>
      <c r="E117" s="4" t="n">
        <f aca="false">D117*C117</f>
        <v>550430</v>
      </c>
      <c r="F117" s="4" t="n">
        <v>37860222</v>
      </c>
      <c r="G117" s="4" t="n">
        <f aca="false">E117*1000000/F117</f>
        <v>14538.4778779163</v>
      </c>
    </row>
    <row r="118" customFormat="false" ht="15" hidden="false" customHeight="false" outlineLevel="0" collapsed="false">
      <c r="A118" s="2" t="s">
        <v>123</v>
      </c>
      <c r="B118" s="3" t="n">
        <v>0.05</v>
      </c>
      <c r="C118" s="3" t="n">
        <f aca="false">1-B118</f>
        <v>0.95</v>
      </c>
      <c r="D118" s="4" t="n">
        <v>30494</v>
      </c>
      <c r="E118" s="4" t="n">
        <f aca="false">D118*C118</f>
        <v>28969.3</v>
      </c>
      <c r="F118" s="4" t="n">
        <v>11738764</v>
      </c>
      <c r="G118" s="4" t="n">
        <f aca="false">E118*1000000/F118</f>
        <v>2467.83221811087</v>
      </c>
    </row>
    <row r="119" customFormat="false" ht="15" hidden="false" customHeight="false" outlineLevel="0" collapsed="false">
      <c r="A119" s="2" t="s">
        <v>124</v>
      </c>
      <c r="B119" s="3" t="n">
        <v>0.05</v>
      </c>
      <c r="C119" s="3" t="n">
        <f aca="false">1-B119</f>
        <v>0.95</v>
      </c>
      <c r="D119" s="4" t="n">
        <v>396012</v>
      </c>
      <c r="E119" s="4" t="n">
        <f aca="false">D119*C119</f>
        <v>376211.4</v>
      </c>
      <c r="F119" s="4" t="n">
        <v>6929153</v>
      </c>
      <c r="G119" s="4" t="n">
        <f aca="false">E119*1000000/F119</f>
        <v>54293.9952401109</v>
      </c>
    </row>
    <row r="120" customFormat="false" ht="15" hidden="false" customHeight="false" outlineLevel="0" collapsed="false">
      <c r="A120" s="2" t="s">
        <v>125</v>
      </c>
      <c r="B120" s="3" t="n">
        <v>0.05</v>
      </c>
      <c r="C120" s="3" t="n">
        <f aca="false">1-B120</f>
        <v>0.95</v>
      </c>
      <c r="D120" s="4" t="n">
        <v>1759540</v>
      </c>
      <c r="E120" s="4" t="n">
        <f aca="false">D120*C120</f>
        <v>1671563</v>
      </c>
      <c r="F120" s="4" t="n">
        <v>7381023</v>
      </c>
      <c r="G120" s="4" t="n">
        <f aca="false">E120*1000000/F120</f>
        <v>226467.659022333</v>
      </c>
    </row>
    <row r="121" customFormat="false" ht="15" hidden="false" customHeight="false" outlineLevel="0" collapsed="false">
      <c r="A121" s="2" t="s">
        <v>126</v>
      </c>
      <c r="B121" s="3" t="n">
        <v>0.05</v>
      </c>
      <c r="C121" s="3" t="n">
        <f aca="false">1-B121</f>
        <v>0.95</v>
      </c>
      <c r="D121" s="4" t="n">
        <v>995450</v>
      </c>
      <c r="E121" s="4" t="n">
        <f aca="false">D121*C121</f>
        <v>945677.5</v>
      </c>
      <c r="F121" s="4" t="n">
        <v>116538258</v>
      </c>
      <c r="G121" s="4" t="n">
        <f aca="false">E121*1000000/F121</f>
        <v>8114.7385951144</v>
      </c>
    </row>
    <row r="122" customFormat="false" ht="15" hidden="false" customHeight="false" outlineLevel="0" collapsed="false">
      <c r="A122" s="2" t="s">
        <v>127</v>
      </c>
      <c r="B122" s="3" t="n">
        <v>0.05</v>
      </c>
      <c r="C122" s="3" t="n">
        <f aca="false">1-B122</f>
        <v>0.95</v>
      </c>
      <c r="D122" s="4" t="n">
        <v>7692020</v>
      </c>
      <c r="E122" s="4" t="n">
        <f aca="false">D122*C122</f>
        <v>7307419</v>
      </c>
      <c r="F122" s="4" t="n">
        <v>26713205</v>
      </c>
      <c r="G122" s="4" t="n">
        <f aca="false">E122*1000000/F122</f>
        <v>273550.815036983</v>
      </c>
    </row>
    <row r="123" customFormat="false" ht="15" hidden="false" customHeight="false" outlineLevel="0" collapsed="false">
      <c r="A123" s="2" t="s">
        <v>128</v>
      </c>
      <c r="B123" s="3" t="n">
        <v>0.02</v>
      </c>
      <c r="C123" s="3" t="n">
        <f aca="false">1-B123</f>
        <v>0.98</v>
      </c>
      <c r="D123" s="4" t="n">
        <v>130170</v>
      </c>
      <c r="E123" s="4" t="n">
        <f aca="false">D123*C123</f>
        <v>127566.6</v>
      </c>
      <c r="F123" s="4" t="n">
        <v>173562364</v>
      </c>
      <c r="G123" s="4" t="n">
        <f aca="false">E123*1000000/F123</f>
        <v>734.989988958666</v>
      </c>
    </row>
    <row r="124" customFormat="false" ht="15" hidden="false" customHeight="false" outlineLevel="0" collapsed="false">
      <c r="A124" s="2" t="s">
        <v>129</v>
      </c>
      <c r="B124" s="3" t="n">
        <v>0.02</v>
      </c>
      <c r="C124" s="3" t="n">
        <f aca="false">1-B124</f>
        <v>0.98</v>
      </c>
      <c r="D124" s="4" t="n">
        <v>91260</v>
      </c>
      <c r="E124" s="4" t="n">
        <f aca="false">D124*C124</f>
        <v>89434.8</v>
      </c>
      <c r="F124" s="4" t="n">
        <v>9676135</v>
      </c>
      <c r="G124" s="4" t="n">
        <f aca="false">E124*1000000/F124</f>
        <v>9242.82267661623</v>
      </c>
    </row>
    <row r="125" customFormat="false" ht="15" hidden="false" customHeight="false" outlineLevel="0" collapsed="false">
      <c r="A125" s="2" t="s">
        <v>130</v>
      </c>
      <c r="B125" s="3" t="n">
        <v>0.02</v>
      </c>
      <c r="C125" s="3" t="n">
        <f aca="false">1-B125</f>
        <v>0.98</v>
      </c>
      <c r="D125" s="4" t="n">
        <v>202990</v>
      </c>
      <c r="E125" s="4" t="n">
        <f aca="false">D125*C125</f>
        <v>198930.2</v>
      </c>
      <c r="F125" s="4" t="n">
        <v>9056696</v>
      </c>
      <c r="G125" s="4" t="n">
        <f aca="false">E125*1000000/F125</f>
        <v>21964.9859065602</v>
      </c>
    </row>
    <row r="126" customFormat="false" ht="15" hidden="false" customHeight="false" outlineLevel="0" collapsed="false">
      <c r="A126" s="2" t="s">
        <v>131</v>
      </c>
      <c r="B126" s="3" t="n">
        <v>0.02</v>
      </c>
      <c r="C126" s="3" t="n">
        <f aca="false">1-B126</f>
        <v>0.98</v>
      </c>
      <c r="D126" s="4" t="n">
        <v>62604</v>
      </c>
      <c r="E126" s="4" t="n">
        <f aca="false">D126*C126</f>
        <v>61351.92</v>
      </c>
      <c r="F126" s="4" t="n">
        <v>2859110</v>
      </c>
      <c r="G126" s="4" t="n">
        <f aca="false">E126*1000000/F126</f>
        <v>21458.3978930506</v>
      </c>
    </row>
    <row r="127" customFormat="false" ht="15" hidden="false" customHeight="false" outlineLevel="0" collapsed="false">
      <c r="A127" s="2" t="s">
        <v>132</v>
      </c>
      <c r="B127" s="3" t="n">
        <v>0.02</v>
      </c>
      <c r="C127" s="3" t="n">
        <f aca="false">1-B127</f>
        <v>0.98</v>
      </c>
      <c r="D127" s="4" t="n">
        <v>62230</v>
      </c>
      <c r="E127" s="4" t="n">
        <f aca="false">D127*C127</f>
        <v>60985.4</v>
      </c>
      <c r="F127" s="4" t="n">
        <v>1871872</v>
      </c>
      <c r="G127" s="4" t="n">
        <f aca="false">E127*1000000/F127</f>
        <v>32579.898625547</v>
      </c>
    </row>
    <row r="128" customFormat="false" ht="15" hidden="false" customHeight="false" outlineLevel="0" collapsed="false">
      <c r="A128" s="2" t="s">
        <v>133</v>
      </c>
      <c r="B128" s="3" t="n">
        <v>0.02</v>
      </c>
      <c r="C128" s="3" t="n">
        <f aca="false">1-B128</f>
        <v>0.98</v>
      </c>
      <c r="D128" s="4" t="n">
        <v>42730</v>
      </c>
      <c r="E128" s="4" t="n">
        <f aca="false">D128*C128</f>
        <v>41875.4</v>
      </c>
      <c r="F128" s="4" t="n">
        <v>1360546</v>
      </c>
      <c r="G128" s="4" t="n">
        <f aca="false">E128*1000000/F128</f>
        <v>30778.3786803239</v>
      </c>
    </row>
    <row r="129" customFormat="false" ht="15" hidden="false" customHeight="false" outlineLevel="0" collapsed="false">
      <c r="A129" s="2" t="s">
        <v>134</v>
      </c>
      <c r="B129" s="3" t="n">
        <v>0.02</v>
      </c>
      <c r="C129" s="3" t="n">
        <f aca="false">1-B129</f>
        <v>0.98</v>
      </c>
      <c r="D129" s="4" t="n">
        <v>175020</v>
      </c>
      <c r="E129" s="4" t="n">
        <f aca="false">D129*C129</f>
        <v>171519.6</v>
      </c>
      <c r="F129" s="4" t="n">
        <v>3386588</v>
      </c>
      <c r="G129" s="4" t="n">
        <f aca="false">E129*1000000/F129</f>
        <v>50646.7276208384</v>
      </c>
    </row>
    <row r="130" customFormat="false" ht="15" hidden="false" customHeight="false" outlineLevel="0" collapsed="false">
      <c r="A130" s="2" t="s">
        <v>135</v>
      </c>
      <c r="B130" s="3" t="n">
        <v>0.02</v>
      </c>
      <c r="C130" s="3" t="n">
        <f aca="false">1-B130</f>
        <v>0.98</v>
      </c>
      <c r="D130" s="4" t="n">
        <v>566730</v>
      </c>
      <c r="E130" s="4" t="n">
        <f aca="false">D130*C130</f>
        <v>555395.4</v>
      </c>
      <c r="F130" s="4" t="n">
        <v>2521139</v>
      </c>
      <c r="G130" s="4" t="n">
        <f aca="false">E130*1000000/F130</f>
        <v>220295.42996241</v>
      </c>
    </row>
    <row r="131" customFormat="false" ht="15" hidden="false" customHeight="false" outlineLevel="0" collapsed="false">
      <c r="A131" s="2" t="s">
        <v>136</v>
      </c>
      <c r="B131" s="3" t="n">
        <v>0.01</v>
      </c>
      <c r="C131" s="3" t="n">
        <f aca="false">1-B131</f>
        <v>0.99</v>
      </c>
      <c r="D131" s="4" t="n">
        <v>40000</v>
      </c>
      <c r="E131" s="4" t="n">
        <f aca="false">D131*C131</f>
        <v>39600</v>
      </c>
      <c r="F131" s="4" t="n">
        <v>5977413</v>
      </c>
      <c r="G131" s="4" t="n">
        <f aca="false">E131*1000000/F131</f>
        <v>6624.93958506799</v>
      </c>
    </row>
    <row r="132" customFormat="false" ht="15" hidden="false" customHeight="false" outlineLevel="0" collapsed="false">
      <c r="A132" s="2" t="s">
        <v>137</v>
      </c>
      <c r="B132" s="3" t="n">
        <v>0.01</v>
      </c>
      <c r="C132" s="3" t="n">
        <f aca="false">1-B132</f>
        <v>0.99</v>
      </c>
      <c r="D132" s="4" t="n">
        <v>33670</v>
      </c>
      <c r="E132" s="4" t="n">
        <f aca="false">D132*C132</f>
        <v>33333.3</v>
      </c>
      <c r="F132" s="4" t="n">
        <v>18080943</v>
      </c>
      <c r="G132" s="4" t="n">
        <f aca="false">E132*1000000/F132</f>
        <v>1843.55981875503</v>
      </c>
    </row>
    <row r="134" customFormat="false" ht="60" hidden="false" customHeight="true" outlineLevel="0" collapsed="false">
      <c r="A134" s="5" t="s">
        <v>138</v>
      </c>
      <c r="B134" s="5"/>
      <c r="C134" s="5"/>
      <c r="D134" s="5"/>
      <c r="E134" s="5"/>
      <c r="F134" s="5"/>
      <c r="G134" s="5"/>
    </row>
  </sheetData>
  <mergeCells count="1">
    <mergeCell ref="A134:G1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2026-08-19T12:51:08Z</dcterms:created>
  <dc:creator>openpyxl</dc:creator>
  <dc:description/>
  <dc:language>en-US</dc:language>
  <cp:lastModifiedBy/>
  <dcterms:modified xsi:type="dcterms:W3CDTF">2026-08-19T12:51:08Z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